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vaanimalhealth-my.sharepoint.com/personal/u521623_ceva_com/Documents/Documents/support case website/"/>
    </mc:Choice>
  </mc:AlternateContent>
  <xr:revisionPtr revIDLastSave="0" documentId="8_{1A09C190-EF17-40C3-8835-1E5E47AAD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ault" sheetId="1" r:id="rId1"/>
    <sheet name="PMXA_BDD" sheetId="5" r:id="rId2"/>
    <sheet name="Feuil2" sheetId="6" r:id="rId3"/>
    <sheet name="liste" sheetId="3" r:id="rId4"/>
    <sheet name="feuilleàmoi" sheetId="2" r:id="rId5"/>
    <sheet name="PMXA_ancien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5" l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" i="5"/>
  <c r="G3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" i="5"/>
  <c r="F3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" i="5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32" i="4"/>
  <c r="J32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J2" i="4"/>
  <c r="J3" i="4"/>
  <c r="J4" i="4"/>
  <c r="J5" i="4"/>
  <c r="J6" i="4"/>
  <c r="J7" i="4"/>
  <c r="J8" i="4"/>
  <c r="J9" i="4"/>
  <c r="J10" i="4"/>
  <c r="J11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H2" i="1"/>
  <c r="I2" i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3" i="1"/>
  <c r="I3" i="1" s="1"/>
</calcChain>
</file>

<file path=xl/sharedStrings.xml><?xml version="1.0" encoding="utf-8"?>
<sst xmlns="http://schemas.openxmlformats.org/spreadsheetml/2006/main" count="4302" uniqueCount="2035">
  <si>
    <t>ID</t>
  </si>
  <si>
    <t>Machine</t>
  </si>
  <si>
    <t>Groupe</t>
  </si>
  <si>
    <t>Automate</t>
  </si>
  <si>
    <t>type</t>
  </si>
  <si>
    <t>Nom</t>
  </si>
  <si>
    <t>Cause</t>
  </si>
  <si>
    <t>Solution</t>
  </si>
  <si>
    <t>Recherche</t>
  </si>
  <si>
    <t>PMII</t>
  </si>
  <si>
    <t>Alarme</t>
  </si>
  <si>
    <t>Omron</t>
  </si>
  <si>
    <t>DEFAUT CAPTEUR</t>
  </si>
  <si>
    <t>Capteur HS</t>
  </si>
  <si>
    <t>PMAF</t>
  </si>
  <si>
    <t>M340</t>
  </si>
  <si>
    <t>DEFAUT CAPTEUR DECELERATION SUR LIFE (DT01)</t>
  </si>
  <si>
    <t>DEFAUT CAPTEUR PLATEAU EN POSITION SUR LIFE (DT02)</t>
  </si>
  <si>
    <t>DEFAUT CAPTEUR TOP PRISE N°1 (DT06)</t>
  </si>
  <si>
    <t>DEFAUT CAPTEUR TOP ENLEVEMENT (DT05)</t>
  </si>
  <si>
    <t>DEFAUT CAPTEUR TOP PRISE N°2 (DT07)</t>
  </si>
  <si>
    <t>DEFAUT CAPTEUR TOP PRISE N°3 (DT08)</t>
  </si>
  <si>
    <t>DEFAUT CAMERA</t>
  </si>
  <si>
    <t>DEFAUT CAMERA1</t>
  </si>
  <si>
    <t>DEFAUT CAMERA2</t>
  </si>
  <si>
    <t>DEFAUT CAMERA3</t>
  </si>
  <si>
    <t>DEFAUT CAMERA4</t>
  </si>
  <si>
    <t>DEFAUT CAMERA5</t>
  </si>
  <si>
    <t>DEFAUT CAMERA6</t>
  </si>
  <si>
    <t>DEFAUT CAPTEUR TOP MIRAGE (DT03)</t>
  </si>
  <si>
    <t>DEFAUT CR PC_PLC</t>
  </si>
  <si>
    <t>DEFAUT RETOUR CR PC_PLC</t>
  </si>
  <si>
    <t>DEFAUT CAPTEUR ESPACE LIBRE SORTIE MIRAGE (DT04)</t>
  </si>
  <si>
    <t>PLATEAU MAUVAIS SENS</t>
  </si>
  <si>
    <t>PLATEAU DANS LE MAUVAIS SENS</t>
  </si>
  <si>
    <t>DEFAUT ONDULEUR</t>
  </si>
  <si>
    <t>DEFAUT ONDULEUR SUR ENLEVEMENT#1</t>
  </si>
  <si>
    <t>DEFAUT COUPURE ALIMENTATION</t>
  </si>
  <si>
    <t>DEFAUT COUPURE ALIMENTATION ENLEVEMENT#1</t>
  </si>
  <si>
    <t>DEFAUT PLATEAUX COLLES</t>
  </si>
  <si>
    <t>DEFAUT PLATEAUX COLLES SOUS ENLEVEMENT</t>
  </si>
  <si>
    <t>DEFAUT ARRET D'URGENCE</t>
  </si>
  <si>
    <t>ARRET D'URGENCE ENCLENCHE SUR TRANSFERT</t>
  </si>
  <si>
    <t>DEFAUT VARIATEUR</t>
  </si>
  <si>
    <t xml:space="preserve">DEFAUT CONVOYEUR SOUS TRANSFERT </t>
  </si>
  <si>
    <t xml:space="preserve">DEFAUT CONVOYEUR SORTIE TRANSFERT </t>
  </si>
  <si>
    <t>DEFAUT CONVOYEUR ENTREE</t>
  </si>
  <si>
    <t>DEFAUT ONDULEUR SUR TRANSFERT</t>
  </si>
  <si>
    <t>DEFAUT COUPURE ALIMENTATION SUR TRANSFERT</t>
  </si>
  <si>
    <t>DEFAUT CAPTEUR TRANSFERT SORTI (DT06)</t>
  </si>
  <si>
    <t>DEFAUT CAPTEUR TRANSFERT RENTRE (DT05)</t>
  </si>
  <si>
    <t>DEFAUT PORTE</t>
  </si>
  <si>
    <t>TRAPPE SECURITE ENLEVEMENT OUVERTE</t>
  </si>
  <si>
    <t>PLATEAU COINCE</t>
  </si>
  <si>
    <t>PLATEAU COINCE AVANT LIFE</t>
  </si>
  <si>
    <t>PLATEAU 1 DANS LE MAUVAIS SENS</t>
  </si>
  <si>
    <t>PLATEAU 2 DANS LE MAUVAIS SENS</t>
  </si>
  <si>
    <t>CAPTEURS DETECTION DE SENS MAL REGLES</t>
  </si>
  <si>
    <t>DEFAUT CONVOYEUR SORTIE</t>
  </si>
  <si>
    <t>DEFAUT DISJONCTEUR</t>
  </si>
  <si>
    <t>DEFAUT DISJONCTEUR ELECTRONIQUE</t>
  </si>
  <si>
    <t>DEFAUT DISJONCTEUR ELECTRONIQUE ENLEVEMENT</t>
  </si>
  <si>
    <t>PLATEAU 3 DANS LE MAUVAIS SENS</t>
  </si>
  <si>
    <t>VIDANGE</t>
  </si>
  <si>
    <t>VIDANGER LA LIGNE</t>
  </si>
  <si>
    <t>DEFAUT ESCLAVE WAGO</t>
  </si>
  <si>
    <t>DEFAUT ESCLAVE WAGO SORTIE</t>
  </si>
  <si>
    <t>ATTENTE VIDE</t>
  </si>
  <si>
    <t>ATTENTE VIDE DEMARRE ENLEVEMENT 1</t>
  </si>
  <si>
    <t>ATTENTE VIDE DEMARRE ENLEVEMENT 2</t>
  </si>
  <si>
    <t>DEFAUT ESCLAVE WAGO ENLEVEMENT#1</t>
  </si>
  <si>
    <t>DEFAUT ESCLAVE WAGO ENLEVEMENT#2</t>
  </si>
  <si>
    <t>DEFAUT ESCLAVE WAGO ENTREE</t>
  </si>
  <si>
    <t>DEFAUT ESCLAVE EMBASE PNEUMATIQUE</t>
  </si>
  <si>
    <t>DEFAUT ESCLAVE EMBASE PNEUMATIQUE N1 ENLEVEMENT#1</t>
  </si>
  <si>
    <t>DEFAUT ESCLAVE EMBASE PNEUMATIQUE N2 ENLEVEMENT#1</t>
  </si>
  <si>
    <t>DEFAUT ESCLAVE EMBASE PNEUMATIQUE N1 ENLEVEMENT#2</t>
  </si>
  <si>
    <t>DEFAUT ESCLAVE EMBASE PNEUMATIQUE N2 ENLEVEMENT#2</t>
  </si>
  <si>
    <t>DEFAUT ESCLAVE EMBASE PNEUMATIQUE N3 ENLEVEMENT#1</t>
  </si>
  <si>
    <t>DEFAUT ESCLAVE EMBASE PNEUMATIQUE N3 ENLEVEMENT#2</t>
  </si>
  <si>
    <t>ATTENTE VALOROEUF DEMARRE ENLEVEMENT 1</t>
  </si>
  <si>
    <t>ATTENTE VALOROEUF DEMARRE ENLEVEMENT 2</t>
  </si>
  <si>
    <t>ATTENTE AUTORISATION MARCHE CONVOYEUR ŒUFS CLAIRS ENLEVEMENT 1</t>
  </si>
  <si>
    <t>ATTENTE AUTORISATION MARCHE CONVOYEUR ŒUFS CLAIRS ENLEVEMENT 2</t>
  </si>
  <si>
    <t>DEFAUT CODEUR</t>
  </si>
  <si>
    <t>DEFAUT CODEUR ENLEVEMENT 1</t>
  </si>
  <si>
    <t>ARRET D'URGENCE ENCLENCHE</t>
  </si>
  <si>
    <t>DEFAUT PRESSION D'AIR</t>
  </si>
  <si>
    <t>DEFAUT CONVOYEUR SOUS MIRAGE</t>
  </si>
  <si>
    <t>DEFAUT RETOUR CR PC_PLC ACQUISITION</t>
  </si>
  <si>
    <t>DEFAUT CONVOYEUR ENLEVEMENT#1</t>
  </si>
  <si>
    <t>DEFAUT CODEUR MIRAGE</t>
  </si>
  <si>
    <t>DEFAUT AXE ENLEVEMENT#1</t>
  </si>
  <si>
    <t>DEFAUT POMPE</t>
  </si>
  <si>
    <t>DEFAUT POMPE DE VIDE ENLEVEMENT#1</t>
  </si>
  <si>
    <t>DEFAUT CONVOYEUR DE DEPOSE OEUFS CLAIRS#1</t>
  </si>
  <si>
    <t>DEFAUT SENS PLATEAU</t>
  </si>
  <si>
    <t>DEFAUT COUPURE ALIMENTATION SUR MIRAGE</t>
  </si>
  <si>
    <t>DEFAUT DETECTION PLATEAU SOUS MIRAGE</t>
  </si>
  <si>
    <t>PORTES OUVERTES</t>
  </si>
  <si>
    <t>DEFAUT PARAFOUDRE</t>
  </si>
  <si>
    <t>DEFAUT GLISSEMENT</t>
  </si>
  <si>
    <t>DEFAUT GLISSEMENT PLATEAU</t>
  </si>
  <si>
    <t>DEFAUT ONDULEUR SUR MIRAGE</t>
  </si>
  <si>
    <t>DEFAUT CONTROLE RETOUR BRUSHLESS</t>
  </si>
  <si>
    <t>DEFAUT CONTROLE RETOUR BRUSHLESS ENLEVEMENT 1</t>
  </si>
  <si>
    <t>DEFAUT PARAMETRE BRUSHLESS</t>
  </si>
  <si>
    <t>DEFAUT PARAMETRES BRUSHLESS A SAISIR ENLEVEMENT 1</t>
  </si>
  <si>
    <t>SATURATION</t>
  </si>
  <si>
    <t>SATURATION CONVOYEUR EN SORTIE ENLEVEMENT</t>
  </si>
  <si>
    <t>AlarmeE2</t>
  </si>
  <si>
    <t>DEFAUT CONVOYEUR ENLEVEMENT#2</t>
  </si>
  <si>
    <t>DEFAUT AXE ENLEVEMENT#2</t>
  </si>
  <si>
    <t>DEFAUT CONVOYEUR DE DEPOSE OEUFS CLAIRS#2</t>
  </si>
  <si>
    <t>PORTES OUVERTES#2</t>
  </si>
  <si>
    <t>DEFAUT PRESSION D'AIR#2</t>
  </si>
  <si>
    <t>DEFAUT POMPE DE VIDE ENLEVEMENT#2</t>
  </si>
  <si>
    <t>DEFAUT ONDULEUR SUR ENLEVEMENT#2</t>
  </si>
  <si>
    <t>DEFAUT COUPURE ALIMENTATION ENLEVEMENT#2</t>
  </si>
  <si>
    <t>DEFAUT CODEUR ENLEVEMENT 2</t>
  </si>
  <si>
    <t>DEFAUT PLATEAUX COLLES SOUS ENLEVEMENT#2</t>
  </si>
  <si>
    <t>DEFAUT CONTROLE RETOUR BRUSHLESS ENLEVEMENT 2</t>
  </si>
  <si>
    <t>DEFAUT PARAMETRES BRUSHLESS A SAISIR ENLEVEMENT 2</t>
  </si>
  <si>
    <t>ID d'alarme</t>
  </si>
  <si>
    <t>Code de l'événement</t>
  </si>
  <si>
    <t>Expression</t>
  </si>
  <si>
    <t>Message</t>
  </si>
  <si>
    <t>explication</t>
  </si>
  <si>
    <t>cause</t>
  </si>
  <si>
    <t>solution</t>
  </si>
  <si>
    <t>ArretUrgence</t>
  </si>
  <si>
    <t>Alarmes_Communes_ArretUrgence</t>
  </si>
  <si>
    <t>G001</t>
  </si>
  <si>
    <t>AlarmesCommunes.ArretUrgence</t>
  </si>
  <si>
    <t>Défaut arrêt d'urgence</t>
  </si>
  <si>
    <t>DisjoncteurElectronique</t>
  </si>
  <si>
    <t>Alarmes_Communes_DisjoncteurElectronique</t>
  </si>
  <si>
    <t>G002</t>
  </si>
  <si>
    <t>AlarmesCommunes.DisjoncteurElectronique</t>
  </si>
  <si>
    <t>Défaut disjoncteur éléctronique Q20</t>
  </si>
  <si>
    <t>Onduleur</t>
  </si>
  <si>
    <t>Alarmes_Communes_Onduleur</t>
  </si>
  <si>
    <t>G003</t>
  </si>
  <si>
    <t>AlarmesCommunes.Onduleur</t>
  </si>
  <si>
    <t>Défaut onduleur</t>
  </si>
  <si>
    <t>L'onduleur est en défaut</t>
  </si>
  <si>
    <t>Relever le défaut sur l'écran du l'onduleur et se référer à la documentation de celui-ci</t>
  </si>
  <si>
    <t>OnduleurSurBatterie</t>
  </si>
  <si>
    <t>Alarmes_Communes_OnduleurSurBatterie</t>
  </si>
  <si>
    <t>G004</t>
  </si>
  <si>
    <t>AlarmesCommunes.OnduleurSurBatterie</t>
  </si>
  <si>
    <t>Onduleur sur batterie</t>
  </si>
  <si>
    <t>Parafoudre</t>
  </si>
  <si>
    <t>Alarmes_Communes_Parafoudre</t>
  </si>
  <si>
    <t>G005</t>
  </si>
  <si>
    <t>AlarmesCommunes.Parafoudre</t>
  </si>
  <si>
    <t>Défaut parafoudre</t>
  </si>
  <si>
    <t>PressionAir</t>
  </si>
  <si>
    <t>Alarmes_Communes_PressionAir</t>
  </si>
  <si>
    <t>G006</t>
  </si>
  <si>
    <t>AlarmesCommunes.PressionAir</t>
  </si>
  <si>
    <t>Défaut pressostat</t>
  </si>
  <si>
    <t>Tension</t>
  </si>
  <si>
    <t>Alarmes_Communes_Tension</t>
  </si>
  <si>
    <t>G007</t>
  </si>
  <si>
    <t>AlarmesCommunes.Tension</t>
  </si>
  <si>
    <t>Défaut tension</t>
  </si>
  <si>
    <t>BatterieFaible</t>
  </si>
  <si>
    <t>Alarmes_Communes_BatterieFaible</t>
  </si>
  <si>
    <t>G008</t>
  </si>
  <si>
    <t>AlarmesCommunes.BatterieFaible</t>
  </si>
  <si>
    <t>Batterie faible onduleur</t>
  </si>
  <si>
    <t>PasDePremierDemarrageValid</t>
  </si>
  <si>
    <t>Alarmes_Communes_PasDePremierDemarrageValid</t>
  </si>
  <si>
    <t>G009</t>
  </si>
  <si>
    <t>AlarmesCommunes.PasDePremierDemarrageValide</t>
  </si>
  <si>
    <t>Premier démarrage non effectué</t>
  </si>
  <si>
    <t>DetecttionPendantStressTest</t>
  </si>
  <si>
    <t>Alarmes_Communes_DetecttionPendantStressTest</t>
  </si>
  <si>
    <t>G010</t>
  </si>
  <si>
    <t>Alarmes.DetectionPendantStressTest</t>
  </si>
  <si>
    <t>Défaut Détection contenant, Stress test stoppé</t>
  </si>
  <si>
    <t>Com_Noeud1</t>
  </si>
  <si>
    <t>Alarmes_Ethercat_Com_Noeud1</t>
  </si>
  <si>
    <t>EC003</t>
  </si>
  <si>
    <t>Alarmes.ComEthercat_Noeud1</t>
  </si>
  <si>
    <t>Défaut de communication avec le noeud 1 : Port 1 du switch Ethercat</t>
  </si>
  <si>
    <t>Com_Noeud2</t>
  </si>
  <si>
    <t>Alarmes_Ethercat_Com_Noeud2</t>
  </si>
  <si>
    <t>EC004</t>
  </si>
  <si>
    <t>Alarmes.ComEthercat_Noeud2</t>
  </si>
  <si>
    <t>Défaut de communication avec le noeud 2 : Port 2 du switch Ethercat</t>
  </si>
  <si>
    <t>Com_Noeud30</t>
  </si>
  <si>
    <t>Alarmes_Ethercat_Com_Noeud30</t>
  </si>
  <si>
    <t>EC005</t>
  </si>
  <si>
    <t>Alarmes.ComEthercat_Noeud30</t>
  </si>
  <si>
    <t>Défaut de communication avec le noeud 30 : Variateur Convoyeur ligne de tri</t>
  </si>
  <si>
    <t>Com_Noeud31</t>
  </si>
  <si>
    <t>Alarmes_Ethercat_Com_Noeud31</t>
  </si>
  <si>
    <t>EC006</t>
  </si>
  <si>
    <t>Alarmes.ComEthercat_Noeud31</t>
  </si>
  <si>
    <t>Défaut de communication avec le noeud 31 : Variateur Convoyeur separateur</t>
  </si>
  <si>
    <t>Com_Noeud32</t>
  </si>
  <si>
    <t>Alarmes_Ethercat_Com_Noeud32</t>
  </si>
  <si>
    <t>EC007</t>
  </si>
  <si>
    <t>Alarmes.ComEthercat_Noeud32</t>
  </si>
  <si>
    <t>Défaut de communication avec le noeud 32 : Variateur Oscillation separateur</t>
  </si>
  <si>
    <t>Com_Noeud33</t>
  </si>
  <si>
    <t>Alarmes_Ethercat_Com_Noeud33</t>
  </si>
  <si>
    <t>EC008</t>
  </si>
  <si>
    <t>Alarmes.ComEthercat_Noeud33</t>
  </si>
  <si>
    <t>Défaut de communication avec le noeud 33 : Variateur Convoyeur accelerateur</t>
  </si>
  <si>
    <t>Com_Noeud34</t>
  </si>
  <si>
    <t>Alarmes_Ethercat_Com_Noeud34</t>
  </si>
  <si>
    <t>EC009</t>
  </si>
  <si>
    <t>Alarmes.ComEthercat_Noeud34</t>
  </si>
  <si>
    <t>Défaut de communication avec le noeud 34 : Variateur Oscillation accelerateur</t>
  </si>
  <si>
    <t>Com_Noeud35</t>
  </si>
  <si>
    <t>Alarmes_Ethercat_Com_Noeud35</t>
  </si>
  <si>
    <t>EC010</t>
  </si>
  <si>
    <t>Alarmes.ComEthercat_Noeud35</t>
  </si>
  <si>
    <t>Défaut de communication avec le noeud 35 : Variateur Convoyeur acquisition</t>
  </si>
  <si>
    <t>Com_Noeud36</t>
  </si>
  <si>
    <t>Alarmes_Ethercat_Com_Noeud36</t>
  </si>
  <si>
    <t>EC011</t>
  </si>
  <si>
    <t>Alarmes.ComEthercat_Noeud36</t>
  </si>
  <si>
    <t>Défaut de communication avec le noeud 36 : Variateur Oscillation acquisition</t>
  </si>
  <si>
    <t>Com_Noeud50</t>
  </si>
  <si>
    <t>Alarmes_Ethercat_Com_Noeud50</t>
  </si>
  <si>
    <t>EC012</t>
  </si>
  <si>
    <t>Alarmes.ComEthercat_Noeud50</t>
  </si>
  <si>
    <t>Défaut de communication avec le noeud 50 : Variateur Convoyeur entrée</t>
  </si>
  <si>
    <t>Nb_TentativeResetAuto</t>
  </si>
  <si>
    <t>Alarmes_Ethercat_Nb_TentativeResetAuto</t>
  </si>
  <si>
    <t>EC002</t>
  </si>
  <si>
    <t>Alarmes.NbreResetAtteint</t>
  </si>
  <si>
    <t>Défaut de communication Ethercat : nombre de tentatives de reset automatique atteint</t>
  </si>
  <si>
    <t>Com_Ethercat</t>
  </si>
  <si>
    <t>Alarmes_Ethercat_Com_Ethercat</t>
  </si>
  <si>
    <t>EC001</t>
  </si>
  <si>
    <t>Alarmes.ComEthercat</t>
  </si>
  <si>
    <t>Défaut de communication sur réseau Ethercat</t>
  </si>
  <si>
    <t>Com_Noeud51</t>
  </si>
  <si>
    <t>Alarmes_Ethercat_Com_Noeud51</t>
  </si>
  <si>
    <t>Alarmes.ComEthercat_Noeud51</t>
  </si>
  <si>
    <t>Défaut de communication avec le noeud 51 : Variateur Convoyeur entrée 2</t>
  </si>
  <si>
    <t>Com_Noeud60</t>
  </si>
  <si>
    <t>Alarmes_Ethercat_Com_Noeud60</t>
  </si>
  <si>
    <t>Alarmes.ComEthercat_Noeud60</t>
  </si>
  <si>
    <t>Défaut de communication avec le noeud 60 : Variateur Convoyeur sortie poussin sous aiguillage</t>
  </si>
  <si>
    <t>Com_Noeud61</t>
  </si>
  <si>
    <t>Alarmes_Ethercat_Com_Noeud61</t>
  </si>
  <si>
    <t>Alarmes.ComEthercat_Noeud61</t>
  </si>
  <si>
    <t>Défaut de communication avec le noeud 61 : Variateur Convoyeur sortie 2</t>
  </si>
  <si>
    <t>Com_Noeud62</t>
  </si>
  <si>
    <t>Alarmes_Ethercat_Com_Noeud62</t>
  </si>
  <si>
    <t>Alarmes.ComEthercat_Noeud62</t>
  </si>
  <si>
    <t>Défaut de communication avec le noeud 62 : Variateur Convoyeur sortie 3</t>
  </si>
  <si>
    <t>Com_Noeud63</t>
  </si>
  <si>
    <t>Alarmes_Ethercat_Com_Noeud63</t>
  </si>
  <si>
    <t>Alarmes.ComEthercat_Noeud63</t>
  </si>
  <si>
    <t>Défaut de communication avec le noeud 63 : Variateur Convoyeur sortie 4</t>
  </si>
  <si>
    <t>Com_Noeud20</t>
  </si>
  <si>
    <t>Alarmes_Ethercat_Com_Noeud20</t>
  </si>
  <si>
    <t>Alarmes.ComEthercat_Noeud20</t>
  </si>
  <si>
    <t>Défaut de communication avec le noeud 20 : Module Wago (entrées / sorties deportées)</t>
  </si>
  <si>
    <t>Com_Noeud52</t>
  </si>
  <si>
    <t>Alarmes_Ethercat_Com_Noeud52</t>
  </si>
  <si>
    <t>Alarmes.ComEthercat_Noeud52</t>
  </si>
  <si>
    <t>Défaut de communication avec le noeud 52 : Variateur Convoyeur entrée 3</t>
  </si>
  <si>
    <t>Com_Noeud53</t>
  </si>
  <si>
    <t>Alarmes_Ethercat_Com_Noeud53</t>
  </si>
  <si>
    <t>Alarmes.ComEthercat_Noeud53</t>
  </si>
  <si>
    <t>Défaut de communication avec le noeud 53 : Variateur Convoyeur entrée 4</t>
  </si>
  <si>
    <t>CarteMod1</t>
  </si>
  <si>
    <t>Alarmes_Carte_ES_CarteMod1</t>
  </si>
  <si>
    <t>ES001</t>
  </si>
  <si>
    <t>Alarmes.CarteMod1</t>
  </si>
  <si>
    <t>Défaut sur la carte MOD 1 - Résoudre le problème, éteindre la machine et redémarrer après 30s</t>
  </si>
  <si>
    <t>CarteMod2</t>
  </si>
  <si>
    <t>Alarmes_Carte_ES_CarteMod2</t>
  </si>
  <si>
    <t>ES002</t>
  </si>
  <si>
    <t>Alarmes.CarteMod2</t>
  </si>
  <si>
    <t>Défaut sur la carte MOD 2 - Résoudre le problème, éteindre la machine et redémarrer après 30s</t>
  </si>
  <si>
    <t>CarteMod3</t>
  </si>
  <si>
    <t>Alarmes_Carte_ES_CarteMod3</t>
  </si>
  <si>
    <t>ES003</t>
  </si>
  <si>
    <t>Alarmes.CarteMod3</t>
  </si>
  <si>
    <t>Défaut sur la carte MOD 3 - Résoudre le problème, éteindre la machine et redémarrer après 30s</t>
  </si>
  <si>
    <t>CarteMod4</t>
  </si>
  <si>
    <t>Alarmes_Carte_ES_CarteMod4</t>
  </si>
  <si>
    <t>ES004</t>
  </si>
  <si>
    <t>Alarmes.CarteMod4</t>
  </si>
  <si>
    <t>Défaut sur la carte MOD 4 - Résoudre le problème, éteindre la machine et redémarrer après 30s</t>
  </si>
  <si>
    <t>CarteMod5</t>
  </si>
  <si>
    <t>Alarmes_Carte_ES_CarteMod5</t>
  </si>
  <si>
    <t>ES005</t>
  </si>
  <si>
    <t>Alarmes.CarteMod5</t>
  </si>
  <si>
    <t>Défaut sur la carte MOD 5 - Résoudre le problème, éteindre la machine et redémarrer après 30s</t>
  </si>
  <si>
    <t>CarteMod6</t>
  </si>
  <si>
    <t>Alarmes_Carte_ES_CarteMod6</t>
  </si>
  <si>
    <t>ES006</t>
  </si>
  <si>
    <t>Alarmes.CarteMod6</t>
  </si>
  <si>
    <t>Défaut sur la carte MOD 6 - Résoudre le problème, éteindre la machine et redémarrer après 30s</t>
  </si>
  <si>
    <t>CarteMod7</t>
  </si>
  <si>
    <t>Alarmes_Carte_ES_CarteMod7</t>
  </si>
  <si>
    <t>ES007</t>
  </si>
  <si>
    <t>Alarmes.CarteMod7</t>
  </si>
  <si>
    <t>Défaut sur la carte MOD 7 - Résoudre le problème, éteindre la machine et redémarrer après 30s</t>
  </si>
  <si>
    <t>CarteMod8</t>
  </si>
  <si>
    <t>Alarmes_Carte_ES_CarteMod8</t>
  </si>
  <si>
    <t>ES008</t>
  </si>
  <si>
    <t>Alarmes.CarteMod8</t>
  </si>
  <si>
    <t>Défaut sur la carte MOD 8 - Résoudre le problème, éteindre la machine et redémarrer après 30s</t>
  </si>
  <si>
    <t>CarteMod9</t>
  </si>
  <si>
    <t>Alarmes_Carte_ES_CarteMod9</t>
  </si>
  <si>
    <t>ES009</t>
  </si>
  <si>
    <t>Alarmes.CarteMod9</t>
  </si>
  <si>
    <t>Défaut sur la carte MOD 9 - Résoudre le problème, éteindre la machine et redémarrer après 30s</t>
  </si>
  <si>
    <t>CarteMod10</t>
  </si>
  <si>
    <t>Alarmes_Carte_ES_CarteMod10</t>
  </si>
  <si>
    <t>ES010</t>
  </si>
  <si>
    <t>Alarmes.CarteMod10</t>
  </si>
  <si>
    <t>Défaut sur la carte MOD 10 - Résoudre le problème, éteindre la machine et redémarrer après 30s</t>
  </si>
  <si>
    <t>CarteMod11</t>
  </si>
  <si>
    <t>Alarmes_Carte_ES_CarteMod11</t>
  </si>
  <si>
    <t>ES011</t>
  </si>
  <si>
    <t>Alarmes.CarteMod11</t>
  </si>
  <si>
    <t>Défaut sur la carte MOD 11 - Résoudre le problème, éteindre la machine et redémarrer après 30s</t>
  </si>
  <si>
    <t>IntConvoyeurLigneDeTri</t>
  </si>
  <si>
    <t>Alarmes_Programme_IntConvoyeurLigneDeTri</t>
  </si>
  <si>
    <t>A001</t>
  </si>
  <si>
    <t>Alarmes.IntConvoyeurLigneDeTri</t>
  </si>
  <si>
    <t>Défaut intensité Convoyeur ligne de tri</t>
  </si>
  <si>
    <t>ConvoyeurLigneDeTri</t>
  </si>
  <si>
    <t>Alarmes_Programme_ConvoyeurLigneDeTri</t>
  </si>
  <si>
    <t>A002</t>
  </si>
  <si>
    <t>Alarmes.ConvoyeurLigneDeTri</t>
  </si>
  <si>
    <t>Défaut Convoyeur ligne de tri</t>
  </si>
  <si>
    <t>IntConvoyeurSeparateur</t>
  </si>
  <si>
    <t>Alarmes_Programme_IntConvoyeurSeparateur</t>
  </si>
  <si>
    <t>A003</t>
  </si>
  <si>
    <t>Alarmes.IntConvoyeurSeparateur</t>
  </si>
  <si>
    <t>Défaut intensité Convoyeur séparateur</t>
  </si>
  <si>
    <t>ConvoyeurSeparateur</t>
  </si>
  <si>
    <t>Alarmes_Programme_ConvoyeurSeparateur</t>
  </si>
  <si>
    <t>A004</t>
  </si>
  <si>
    <t>Alarmes.ConvoyeurSeparateur</t>
  </si>
  <si>
    <t>Défaut Convoyeur séparateur</t>
  </si>
  <si>
    <t>IntConvoyeurAccelerateur</t>
  </si>
  <si>
    <t>Alarmes_Programme_IntConvoyeurAccelerateur</t>
  </si>
  <si>
    <t>A005</t>
  </si>
  <si>
    <t>Alarmes.IntConvoyeurAccelerateur</t>
  </si>
  <si>
    <t>Défaut intensité Convoyeur accélérateur</t>
  </si>
  <si>
    <t>ConvoyeurAccelerateur</t>
  </si>
  <si>
    <t>Alarmes_Programme_ConvoyeurAccelerateur</t>
  </si>
  <si>
    <t>A006</t>
  </si>
  <si>
    <t>Alarmes.ConvoyeurAccelerateur</t>
  </si>
  <si>
    <t>Défaut Convoyeur accélérateur</t>
  </si>
  <si>
    <t>IntOscillationConvoyeurAccelerateur</t>
  </si>
  <si>
    <t>Alarmes_Programme_IntOscillationConvoyeurAccelerateur</t>
  </si>
  <si>
    <t>A007</t>
  </si>
  <si>
    <t>Alarmes.IntOscillationConvoyeurAccelerateur</t>
  </si>
  <si>
    <t>Défaut intensité Oscillation convoyeur accélérateur</t>
  </si>
  <si>
    <t>OscillationConvoyeurAccelerateur</t>
  </si>
  <si>
    <t>Alarmes_Programme_OscillationConvoyeurAccelerateur</t>
  </si>
  <si>
    <t>A008</t>
  </si>
  <si>
    <t>Alarmes.OscillationConvoyeurAccelerateur</t>
  </si>
  <si>
    <t>Défaut Oscillation convoyeur accélérateur</t>
  </si>
  <si>
    <t>IntConvoyeurAcquisition</t>
  </si>
  <si>
    <t>Alarmes_Programme_IntConvoyeurAcquisition</t>
  </si>
  <si>
    <t>A009</t>
  </si>
  <si>
    <t>Alarmes.IntConvoyeurAcquisition</t>
  </si>
  <si>
    <t>Défaut intensité Convoyeur acquisition</t>
  </si>
  <si>
    <t>ConvoyeurAcquisition</t>
  </si>
  <si>
    <t>Alarmes_Programme_ConvoyeurAcquisition</t>
  </si>
  <si>
    <t>A010</t>
  </si>
  <si>
    <t>Alarmes.ConvoyeurAcquisition</t>
  </si>
  <si>
    <t>Défaut Convoyeur acquisition</t>
  </si>
  <si>
    <t>IntOscillationConvoyeurAcquisition</t>
  </si>
  <si>
    <t>Alarmes_Programme_IntOscillationConvoyeurAcquisition</t>
  </si>
  <si>
    <t>A011</t>
  </si>
  <si>
    <t>Alarmes.IntOscillationConvoyeurAcquisition</t>
  </si>
  <si>
    <t>Défaut intensité Oscillation convoyeur acquisition</t>
  </si>
  <si>
    <t>OscillationConvoyeurAcquisition</t>
  </si>
  <si>
    <t>Alarmes_Programme_OscillationConvoyeurAcquisition</t>
  </si>
  <si>
    <t>A012</t>
  </si>
  <si>
    <t>Alarmes.OscillationConvoyeurAcquisition</t>
  </si>
  <si>
    <t>Défaut Oscillation convoyeur acquisition</t>
  </si>
  <si>
    <t>IntConvoyeurSortie</t>
  </si>
  <si>
    <t>Alarmes_Programme_IntConvoyeurSortie</t>
  </si>
  <si>
    <t>A013</t>
  </si>
  <si>
    <t>Alarmes.IntConvoyeurSortie</t>
  </si>
  <si>
    <t>Défaut intensité Convoyeur de sortie</t>
  </si>
  <si>
    <t>ConvoyeurSortie</t>
  </si>
  <si>
    <t>Alarmes_Programme_ConvoyeurSortie</t>
  </si>
  <si>
    <t>A014</t>
  </si>
  <si>
    <t>Alarmes.ConvoyeurSortie</t>
  </si>
  <si>
    <t>Défaut Convoyeur de sortie</t>
  </si>
  <si>
    <t>DisjElecQ121</t>
  </si>
  <si>
    <t>Alarmes_Programme_DisjElecQ121</t>
  </si>
  <si>
    <t>A015</t>
  </si>
  <si>
    <t>Alarmes.DisjoncteurElecQ121</t>
  </si>
  <si>
    <t>Défaut disjoncteur éléctronique Q121</t>
  </si>
  <si>
    <t>DisjElecQ221</t>
  </si>
  <si>
    <t>Alarmes_Programme_DisjElecQ221</t>
  </si>
  <si>
    <t>A016</t>
  </si>
  <si>
    <t>Alarmes.DisjoncteurElecQ221</t>
  </si>
  <si>
    <t>Défaut disjoncteur éléctronique Q221</t>
  </si>
  <si>
    <t>DisjElecQ321</t>
  </si>
  <si>
    <t>Alarmes_Programme_DisjElecQ321</t>
  </si>
  <si>
    <t>A017</t>
  </si>
  <si>
    <t>Alarmes.DisjoncteurElecQ321</t>
  </si>
  <si>
    <t>Défaut disjoncteur éléctronique Q321</t>
  </si>
  <si>
    <t>CapteurGoulotteAiguillage</t>
  </si>
  <si>
    <t>Alarmes_Programme_CapteurGoulotteAiguillage</t>
  </si>
  <si>
    <t>A018</t>
  </si>
  <si>
    <t>Alarmes.CapteurGoulotteAiguillage</t>
  </si>
  <si>
    <t>Goulotte aiguillage pas en position ou capteur HS</t>
  </si>
  <si>
    <t>CapteurOscillationAccelerateurModeConvoyeur</t>
  </si>
  <si>
    <t>Alarmes_Programme_CapteurOscillationAccelerateurModeConvoyeur</t>
  </si>
  <si>
    <t>A020</t>
  </si>
  <si>
    <t>Alarmes.CapteurOscillationAccelerateurModeConvoyeur</t>
  </si>
  <si>
    <t>Pas de détection du capteur système d'oscillation convoyeur accélérateur en position basse, vérifier le capteur ou la pièce mécanique</t>
  </si>
  <si>
    <t>CapteurOscillationAccelerateurModeSexage</t>
  </si>
  <si>
    <t>Alarmes_Programme_CapteurOscillationAccelerateurModeSexage</t>
  </si>
  <si>
    <t>A021</t>
  </si>
  <si>
    <t>Alarmes.CapteurOscillationAccelerateurModeSexage</t>
  </si>
  <si>
    <t>CapteurOscillationAcquisitionModeConvoyeur</t>
  </si>
  <si>
    <t>Alarmes_Programme_CapteurOscillationAcquisitionModeConvoyeur</t>
  </si>
  <si>
    <t>A022</t>
  </si>
  <si>
    <t>Alarmes.CapteurOscillationAcquisitionModeConvoyeur</t>
  </si>
  <si>
    <t>Pas de détection du capteur système d'oscillation convoyeur acquisition en position basse, vérifier le capteur ou la pièce mécanique</t>
  </si>
  <si>
    <t>CapteurOscillationAcquisitionModeSexage</t>
  </si>
  <si>
    <t>Alarmes_Programme_CapteurOscillationAcquisitionModeSexage</t>
  </si>
  <si>
    <t>A023</t>
  </si>
  <si>
    <t>Alarmes.CapteurOscillationAcquisitionModeSexage</t>
  </si>
  <si>
    <t>TemperatureArmoireElevee</t>
  </si>
  <si>
    <t>Alarmes_Programme_TemperatureArmoireElevee</t>
  </si>
  <si>
    <t>A024</t>
  </si>
  <si>
    <t>Alarmes.TemperatureArmoire_Elevee</t>
  </si>
  <si>
    <t>Température armoire électrique élevée</t>
  </si>
  <si>
    <t>TemperatureArmoireComErreur</t>
  </si>
  <si>
    <t>Alarmes_Programme_TemperatureArmoireComErreur</t>
  </si>
  <si>
    <t>A025</t>
  </si>
  <si>
    <t>Alarmes.TemperatureArmoire_ComError</t>
  </si>
  <si>
    <t>Erreur de communication capteur température armoire électrique</t>
  </si>
  <si>
    <t>TemperatureB10Elevee</t>
  </si>
  <si>
    <t>Alarmes_Programme_TemperatureB10Elevee</t>
  </si>
  <si>
    <t>A026</t>
  </si>
  <si>
    <t>Alarmes.TemperatureB10_Elevee</t>
  </si>
  <si>
    <t>Température armoire informatique élevée</t>
  </si>
  <si>
    <t>TemperatureB10ComErreur</t>
  </si>
  <si>
    <t>Alarmes_Programme_TemperatureB10ComErreur</t>
  </si>
  <si>
    <t>A027</t>
  </si>
  <si>
    <t>Alarmes.TemperatureB10_ComError</t>
  </si>
  <si>
    <t>Erreur de communication capteur température armoire informatique</t>
  </si>
  <si>
    <t>PressionAirComErreur</t>
  </si>
  <si>
    <t>Alarmes_Programme_PressionAirComErreur</t>
  </si>
  <si>
    <t>A028</t>
  </si>
  <si>
    <t>Alarmes.PressionAirComErreur</t>
  </si>
  <si>
    <t>Erreur de communication capteur pression d'air</t>
  </si>
  <si>
    <t>IntConvVersCompteuse</t>
  </si>
  <si>
    <t>Alarmes_Programme_IntConvVersCompteuse</t>
  </si>
  <si>
    <t>A031</t>
  </si>
  <si>
    <t>Alarmes.IntConvVersCompteuse</t>
  </si>
  <si>
    <t>Défaut intensité Convoyeur vers compteuse</t>
  </si>
  <si>
    <t>ConvVersCompteuse</t>
  </si>
  <si>
    <t>Alarmes_Programme_ConvVersCompteuse</t>
  </si>
  <si>
    <t>A032</t>
  </si>
  <si>
    <t>Alarmes.ConvVersCompteuse</t>
  </si>
  <si>
    <t>Défaut Convoyeur vers compteuse</t>
  </si>
  <si>
    <t>ThermiqueConvSeparateur</t>
  </si>
  <si>
    <t>Alarmes_Programme_ThermiqueConvSeparateur</t>
  </si>
  <si>
    <t>A034</t>
  </si>
  <si>
    <t>Alarmes.ThermiqueConvSeparateur</t>
  </si>
  <si>
    <t>Défaut protection thermique moteur convoyeur séparateur</t>
  </si>
  <si>
    <t>ThermiqueConvAccelerateur</t>
  </si>
  <si>
    <t>Alarmes_Programme_ThermiqueConvAccelerateur</t>
  </si>
  <si>
    <t>A035</t>
  </si>
  <si>
    <t>Alarmes.ThermiqueConvAccelerateur</t>
  </si>
  <si>
    <t>Défaut protection thermique moteur convoyeur accélérateur</t>
  </si>
  <si>
    <t>ThermiqueConvAcquisition</t>
  </si>
  <si>
    <t>Alarmes_Programme_ThermiqueConvAcquisition</t>
  </si>
  <si>
    <t>A036</t>
  </si>
  <si>
    <t>Alarmes.ThermiqueConvAcquisition</t>
  </si>
  <si>
    <t>Défaut protection thermique moteur convoyeur acquisition</t>
  </si>
  <si>
    <t>IntConvElevateurSortie</t>
  </si>
  <si>
    <t>Alarmes_Programme_IntConvElevateurSortie</t>
  </si>
  <si>
    <t>A039</t>
  </si>
  <si>
    <t>Alarmes.IntConvElevateurSortie</t>
  </si>
  <si>
    <t>Défaut intensité Convoyeur élévateur sortie</t>
  </si>
  <si>
    <t>ConvElevateurSortie</t>
  </si>
  <si>
    <t>Alarmes_Programme_ConvElevateurSortie</t>
  </si>
  <si>
    <t>A040</t>
  </si>
  <si>
    <t>Alarmes.ConvElevateurSortie</t>
  </si>
  <si>
    <t>Défaut Convoyeur élévateur sortie</t>
  </si>
  <si>
    <t>IntConvElevateur2</t>
  </si>
  <si>
    <t>Alarmes_Programme_IntConvElevateur2</t>
  </si>
  <si>
    <t>A041</t>
  </si>
  <si>
    <t>Alarmes.IntConvElevateur2</t>
  </si>
  <si>
    <t>Défaut intensité Convoyeur élévateur sortie 2</t>
  </si>
  <si>
    <t>ConvElevateur2</t>
  </si>
  <si>
    <t>Alarmes_Programme_ConvElevateur2</t>
  </si>
  <si>
    <t>A042</t>
  </si>
  <si>
    <t>Alarmes.ConvElevateur2</t>
  </si>
  <si>
    <t>Défaut Convoyeur élévateur sortie 2</t>
  </si>
  <si>
    <t>IntOscillationConvoyeurSeparateur</t>
  </si>
  <si>
    <t>Alarmes_Programme_IntOscillationConvoyeurSeparateur</t>
  </si>
  <si>
    <t>A043</t>
  </si>
  <si>
    <t>Alarmes.IntOscillationConvoyeurSeparateur</t>
  </si>
  <si>
    <t>Défaut intensité Oscillation convoyeur séparateur</t>
  </si>
  <si>
    <t>OscillationConvoyeurSeparateur</t>
  </si>
  <si>
    <t>Alarmes_Programme_OscillationConvoyeurSeparateur</t>
  </si>
  <si>
    <t>A044</t>
  </si>
  <si>
    <t>Alarmes.OscillationConvoyeurSeparateur</t>
  </si>
  <si>
    <t>Défaut Oscillation convoyeur séparateur</t>
  </si>
  <si>
    <t>TemperatureBoitierCameraElevee</t>
  </si>
  <si>
    <t>Alarmes_Programme_TemperatureBoitierCameraElevee</t>
  </si>
  <si>
    <t>A045</t>
  </si>
  <si>
    <t>Alarmes.TemperatureBoitierCamera_Elevee</t>
  </si>
  <si>
    <t>Température boitier caméra élevée</t>
  </si>
  <si>
    <t>TemperatureBoitierCameraComErreur</t>
  </si>
  <si>
    <t>Alarmes_Programme_TemperatureBoitierCameraComErreur</t>
  </si>
  <si>
    <t>A046</t>
  </si>
  <si>
    <t>Alarmes.TemperatureBoitierCamera_ComError</t>
  </si>
  <si>
    <t>Erreur de communication capteur température boitier caméra</t>
  </si>
  <si>
    <t>CapteurOscillationSeparateurModeConvoyeur</t>
  </si>
  <si>
    <t>Alarmes_Programme_CapteurOscillationSeparateurModeConvoyeur</t>
  </si>
  <si>
    <t>A047</t>
  </si>
  <si>
    <t>Alarmes.CapteurOscillationSeparateurModeConvoyeur</t>
  </si>
  <si>
    <t>Pas de détection du capteur système d'oscillation convoyeur séparateur en position basse, vérifier le capteur ou la pièce mécanique</t>
  </si>
  <si>
    <t>CapteurOscillationSeparateurModeSexage</t>
  </si>
  <si>
    <t>Alarmes_Programme_CapteurOscillationSeparateurModeSexage</t>
  </si>
  <si>
    <t>A048</t>
  </si>
  <si>
    <t>Alarmes.CapteurOscillationSeparateurModeSexage</t>
  </si>
  <si>
    <t>IntConvEntreSortieEtElevateur</t>
  </si>
  <si>
    <t>Alarmes_Programme_IntConvEntreSortieEtElevateur</t>
  </si>
  <si>
    <t>A049</t>
  </si>
  <si>
    <t>Alarmes.IntConvEntreSortieEtElevateur</t>
  </si>
  <si>
    <t>Défaut intensité Convoyeur avant élévateur</t>
  </si>
  <si>
    <t>ConvEntreSortieEtElevateur</t>
  </si>
  <si>
    <t>Alarmes_Programme_ConvEntreSortieEtElevateur</t>
  </si>
  <si>
    <t>A050</t>
  </si>
  <si>
    <t>Alarmes.ConvEntreSortieEtElevateur</t>
  </si>
  <si>
    <t>Défaut Convoyeur avant élévateur</t>
  </si>
  <si>
    <t>IntConvEntreeLigneDeTri</t>
  </si>
  <si>
    <t>Alarmes_Programme_IntConvEntreeLigneDeTri</t>
  </si>
  <si>
    <t>A051</t>
  </si>
  <si>
    <t>Alarmes.IntConvEntreeLigneDeTri</t>
  </si>
  <si>
    <t>Défaut intensité convoyeur entrée ligne de tri</t>
  </si>
  <si>
    <t>ConvEntreeLigneDeTri</t>
  </si>
  <si>
    <t>Alarmes_Programme_ConvEntreeLigneDeTri</t>
  </si>
  <si>
    <t>A052</t>
  </si>
  <si>
    <t>Alarmes.ConvEntreeLigneDeTri</t>
  </si>
  <si>
    <t>Défaut convoyeur entrée ligne de tri</t>
  </si>
  <si>
    <t>IntConvEntreeBypass</t>
  </si>
  <si>
    <t>Alarmes_Programme_IntConvEntreeBypass</t>
  </si>
  <si>
    <t>A053</t>
  </si>
  <si>
    <t>Alarmes.IntConvEntreeBypass</t>
  </si>
  <si>
    <t>Défaut intensité convoyeur entrée bypass</t>
  </si>
  <si>
    <t>ConvEntreeBypass</t>
  </si>
  <si>
    <t>Alarmes_Programme_ConvEntreeBypass</t>
  </si>
  <si>
    <t>A054</t>
  </si>
  <si>
    <t>Alarmes.ConvEntreeBypass</t>
  </si>
  <si>
    <t>Défaut convoyeur entrée bypass</t>
  </si>
  <si>
    <t>IntConvEntreeVersCompteuse</t>
  </si>
  <si>
    <t>Alarmes_Programme_IntConvEntreeVersCompteuse</t>
  </si>
  <si>
    <t>A055</t>
  </si>
  <si>
    <t>Alarmes.IntConvEntreeVersCompteuse</t>
  </si>
  <si>
    <t>Défaut intensité convoyeur entrée vers compteuse</t>
  </si>
  <si>
    <t>ConvEntreeVersCompteuse</t>
  </si>
  <si>
    <t>Alarmes_Programme_ConvEntreeVersCompteuse</t>
  </si>
  <si>
    <t>A056</t>
  </si>
  <si>
    <t>Alarmes.ConvEntreeVersCompteuse</t>
  </si>
  <si>
    <t>Défaut convoyeur entrée vers compteuse</t>
  </si>
  <si>
    <t>Porte1Ouverte</t>
  </si>
  <si>
    <t>Alarmes_Programme_Porte1Ouverte</t>
  </si>
  <si>
    <t>A059</t>
  </si>
  <si>
    <t>Alarmes.Porte01Ouverte</t>
  </si>
  <si>
    <t>Porte de sécurité 1 ouverte</t>
  </si>
  <si>
    <t>Porte2Ouverte</t>
  </si>
  <si>
    <t>Alarmes_Programme_Porte2Ouverte</t>
  </si>
  <si>
    <t>A060</t>
  </si>
  <si>
    <t>Alarmes.Porte02Ouverte</t>
  </si>
  <si>
    <t>Porte de sécurité 2 ouverte</t>
  </si>
  <si>
    <t>Porte3Ouverte</t>
  </si>
  <si>
    <t>Alarmes_Programme_Porte3Ouverte</t>
  </si>
  <si>
    <t>A061</t>
  </si>
  <si>
    <t>Alarmes.Porte03Ouverte</t>
  </si>
  <si>
    <t>Porte de sécurité 3 ouverte</t>
  </si>
  <si>
    <t>Porte4Ouverte</t>
  </si>
  <si>
    <t>Alarmes_Programme_Porte4Ouverte</t>
  </si>
  <si>
    <t>A062</t>
  </si>
  <si>
    <t>Alarmes.Porte04Ouverte</t>
  </si>
  <si>
    <t>Porte de sécurité 4 ouverte</t>
  </si>
  <si>
    <t>Porte5Ouverte</t>
  </si>
  <si>
    <t>Alarmes_Programme_Porte5Ouverte</t>
  </si>
  <si>
    <t>A063</t>
  </si>
  <si>
    <t>Alarmes.Porte05Ouverte</t>
  </si>
  <si>
    <t>Porte de sécurité 5 ouverte</t>
  </si>
  <si>
    <t>Porte6Ouverte</t>
  </si>
  <si>
    <t>Alarmes_Programme_Porte6Ouverte</t>
  </si>
  <si>
    <t>A064</t>
  </si>
  <si>
    <t>Alarmes.Porte06Ouverte</t>
  </si>
  <si>
    <t>Porte de sécurité 6 ouverte</t>
  </si>
  <si>
    <t>EchangeurThermiqueDefaut1</t>
  </si>
  <si>
    <t>Alarmes_Programme_EchangeurThermiqueDefaut1</t>
  </si>
  <si>
    <t>A057</t>
  </si>
  <si>
    <t>Alarmes.EchangeurThermiqueDefaut1</t>
  </si>
  <si>
    <t>Défaut 1 échangeur thermique : Défaut général</t>
  </si>
  <si>
    <t>EchangeurThermiqueDefaut2</t>
  </si>
  <si>
    <t>Alarmes_Programme_EchangeurThermiqueDefaut2</t>
  </si>
  <si>
    <t>A058</t>
  </si>
  <si>
    <t>Alarmes.EchangeurThermiqueDefaut2</t>
  </si>
  <si>
    <t>Défaut 2 échangeur thermique : Température armoire trop élevée</t>
  </si>
  <si>
    <t>GroupeFroidDefaut1</t>
  </si>
  <si>
    <t>Alarmes_Programme_GroupeFroidDefaut1</t>
  </si>
  <si>
    <t>A065</t>
  </si>
  <si>
    <t>Alarmes.GroupeFroidDefaut1</t>
  </si>
  <si>
    <t>Défaut 1 groupe froid</t>
  </si>
  <si>
    <t>GroupeFroidDefaut2</t>
  </si>
  <si>
    <t>Alarmes_Programme_GroupeFroidDefaut2</t>
  </si>
  <si>
    <t>A066</t>
  </si>
  <si>
    <t>Alarmes.GroupeFroidDefaut2</t>
  </si>
  <si>
    <t>Défaut 2 groupe froid</t>
  </si>
  <si>
    <t>DiscordanceSEC02</t>
  </si>
  <si>
    <t>Alarmes_Programme_DiscordanceSEC02</t>
  </si>
  <si>
    <t>A067</t>
  </si>
  <si>
    <t>Alarmes.DiscordanceSEC02</t>
  </si>
  <si>
    <t>Défaut SEC02, sortez la goulotte de distribution, ouvrez toutes les portes, puis fermez-les une à une.</t>
  </si>
  <si>
    <t>IntConv2VersCompteuse</t>
  </si>
  <si>
    <t>Alarmes_Programme_IntConv2VersCompteuse</t>
  </si>
  <si>
    <t>A068</t>
  </si>
  <si>
    <t>Défaut intensité Convoyeur 2 vers compteuse</t>
  </si>
  <si>
    <t>Conv2VersCompteuse</t>
  </si>
  <si>
    <t>Alarmes_Programme_Conv2VersCompteuse</t>
  </si>
  <si>
    <t>A069</t>
  </si>
  <si>
    <t>Défaut Convoyeur 2 vers compteuse</t>
  </si>
  <si>
    <t>RempUrgentFiltre1</t>
  </si>
  <si>
    <t>Alarmes_Programme_RempUrgentFiltre1</t>
  </si>
  <si>
    <t>A070</t>
  </si>
  <si>
    <t>Alarmes.RempUrgentFiltre1</t>
  </si>
  <si>
    <t>Remplacement urgent filtre 1</t>
  </si>
  <si>
    <t>RempUrgentFiltre2</t>
  </si>
  <si>
    <t>Alarmes_Programme_RempUrgentFiltre2</t>
  </si>
  <si>
    <t>A071</t>
  </si>
  <si>
    <t>Alarmes.RempUrgentFiltre2</t>
  </si>
  <si>
    <t>Remplacement urgent filtre 2</t>
  </si>
  <si>
    <t>RempUrgentFiltre3</t>
  </si>
  <si>
    <t>Alarmes_Programme_RempUrgentFiltre3</t>
  </si>
  <si>
    <t>A072</t>
  </si>
  <si>
    <t>Alarmes.RempUrgentFiltre3</t>
  </si>
  <si>
    <t>Remplacement urgent filtre 3</t>
  </si>
  <si>
    <t>BitDeVie</t>
  </si>
  <si>
    <t>Alarmes_Voies_Voie_1_BitDeVie</t>
  </si>
  <si>
    <t>A104</t>
  </si>
  <si>
    <t>Alarmes.SexageVoie(1).BitDeVie</t>
  </si>
  <si>
    <t>Défaut communication PC / PLC voie 1</t>
  </si>
  <si>
    <t>PoussinCoinceEntreeVoie</t>
  </si>
  <si>
    <t>Alarmes_Voies_Voie_1_PoussinCoinceEntreeVoie</t>
  </si>
  <si>
    <t>A101</t>
  </si>
  <si>
    <t>Alarmes.SexageVoie(1).PoussinCoinceEnSortieAnalyse</t>
  </si>
  <si>
    <t>Poussin coincé en sortie Analyse voie 1</t>
  </si>
  <si>
    <t>DetectionDeNoir</t>
  </si>
  <si>
    <t>Alarmes_Voies_Voie_1_DetectionDeNoir</t>
  </si>
  <si>
    <t>A105</t>
  </si>
  <si>
    <t>Alarmes.SexageVoie(1).DetectionDeNoir</t>
  </si>
  <si>
    <t>Détection de noir sur la voie 1, vérifier que les caches des caméras sont bien retirés</t>
  </si>
  <si>
    <t>DefautAcquisition</t>
  </si>
  <si>
    <t>Alarmes_Voies_Voie_1_DefautAcquisition</t>
  </si>
  <si>
    <t>A106</t>
  </si>
  <si>
    <t>Alarmes.SexageVoie(1).DefautAcquisition</t>
  </si>
  <si>
    <t>Défaut acquisition voie 1, le PC ne reçoit pas les images</t>
  </si>
  <si>
    <t>TemperatureCameraElevee</t>
  </si>
  <si>
    <t>Alarmes_Voies_Voie_1_TemperatureCameraElevee</t>
  </si>
  <si>
    <t>A107</t>
  </si>
  <si>
    <t>Alarmes.SexageVoie(1).TemperatureCameraElevee</t>
  </si>
  <si>
    <t>Température caméras voie 1 trop élevée</t>
  </si>
  <si>
    <t>Salissure</t>
  </si>
  <si>
    <t>Alarmes_Voies_Voie_1_Salissure</t>
  </si>
  <si>
    <t>A108</t>
  </si>
  <si>
    <t>Alarmes.SexageVoie(1).Salissure</t>
  </si>
  <si>
    <t>Défaut salissure zone de prise d'image voie 1, nettoyer la zone</t>
  </si>
  <si>
    <t>DefautEclairage</t>
  </si>
  <si>
    <t>Alarmes_Voies_Voie_1_DefautEclairage</t>
  </si>
  <si>
    <t>A109</t>
  </si>
  <si>
    <t>Alarmes.SexageVoie(1).DefautEclairage</t>
  </si>
  <si>
    <t>Défaut éclairage voie 1</t>
  </si>
  <si>
    <t>TropDePoussinsDifficilementSexable</t>
  </si>
  <si>
    <t>Alarmes_Voies_Voie_1_TropDePoussinsDifficilementSexable</t>
  </si>
  <si>
    <t>A110</t>
  </si>
  <si>
    <t>Alarmes.SexageVoie(1).TropDePoussinsDifficilementSexable</t>
  </si>
  <si>
    <t>Défaut sexage voie 1, trop de poussins difficilement sexables</t>
  </si>
  <si>
    <t>TropDePoussinsColles</t>
  </si>
  <si>
    <t>Alarmes_Voies_Voie_1_TropDePoussinsColles</t>
  </si>
  <si>
    <t>A111</t>
  </si>
  <si>
    <t>Alarmes.SexageVoie(1).TropDePoussinsColles</t>
  </si>
  <si>
    <t>Défaut répartition voie 1, trop de poussins collés sur les images</t>
  </si>
  <si>
    <t>SurchargeHDD</t>
  </si>
  <si>
    <t>Alarmes_Voies_Voie_1_SurchargeHDD</t>
  </si>
  <si>
    <t>A112</t>
  </si>
  <si>
    <t>Alarmes.SexageVoie(1).SurchargeHDD</t>
  </si>
  <si>
    <t xml:space="preserve">Surcharge disque dur SSD  PC N°1 </t>
  </si>
  <si>
    <t>FrequenceGPUBasse</t>
  </si>
  <si>
    <t>Alarmes_Voies_Voie_1_FrequenceGPUBasse</t>
  </si>
  <si>
    <t>A114</t>
  </si>
  <si>
    <t>Alarmes.SexageVoie(1).FrequenceGPUBasse</t>
  </si>
  <si>
    <t>Fréquence GPU basse PC N°1</t>
  </si>
  <si>
    <t>TemperatureGPUElevee</t>
  </si>
  <si>
    <t>Alarmes_Voies_Voie_1_TemperatureGPUElevee</t>
  </si>
  <si>
    <t>A115</t>
  </si>
  <si>
    <t>Alarmes.SexageVoie(1).TemperatureGPUElevee</t>
  </si>
  <si>
    <t>Température GPU  PC N°1 trop élevée</t>
  </si>
  <si>
    <t>SurchargeGPU</t>
  </si>
  <si>
    <t>Alarmes_Voies_Voie_1_SurchargeGPU</t>
  </si>
  <si>
    <t>A116</t>
  </si>
  <si>
    <t>Alarmes.SexageVoie(1).SurchargeGPU</t>
  </si>
  <si>
    <t>Surcharge GPU  PC N°1</t>
  </si>
  <si>
    <t>SurchargeRAM</t>
  </si>
  <si>
    <t>Alarmes_Voies_Voie_1_SurchargeRAM</t>
  </si>
  <si>
    <t>A117</t>
  </si>
  <si>
    <t>Alarmes.SexageVoie(1).SurchargeRAM</t>
  </si>
  <si>
    <t>Surcharge RAM  PC N°1</t>
  </si>
  <si>
    <t>TemperatureCPUElevee</t>
  </si>
  <si>
    <t>Alarmes_Voies_Voie_1_TemperatureCPUElevee</t>
  </si>
  <si>
    <t>A118</t>
  </si>
  <si>
    <t>Alarmes.SexageVoie(1).TemperatureCPUElevee</t>
  </si>
  <si>
    <t>Température CPU  PC N°1 trop élevée</t>
  </si>
  <si>
    <t>SurchargeCPU</t>
  </si>
  <si>
    <t>Alarmes_Voies_Voie_1_SurchargeCPU</t>
  </si>
  <si>
    <t>A119</t>
  </si>
  <si>
    <t>Alarmes.SexageVoie(1).SurchargeCPU</t>
  </si>
  <si>
    <t>Surcharge CPU  PC N°1</t>
  </si>
  <si>
    <t>CapteurDeDebit_Avertissement</t>
  </si>
  <si>
    <t>Alarmes_Voies_Voie_1_CapteurDeDebit_Avertissement</t>
  </si>
  <si>
    <t>A120</t>
  </si>
  <si>
    <t>Alarmes.CapteurDebit_AvertissementVoie(1)</t>
  </si>
  <si>
    <t>Avertissement capteur de débit voie 1</t>
  </si>
  <si>
    <t>CapteurDeDebit_Defaut</t>
  </si>
  <si>
    <t>Alarmes_Voies_Voie_1_CapteurDeDebit_Defaut</t>
  </si>
  <si>
    <t>A121</t>
  </si>
  <si>
    <t>Alarmes.CapteurDebit_DefautVoie(1)</t>
  </si>
  <si>
    <t>Défaut capteur de débit voie 1</t>
  </si>
  <si>
    <t>TempératureCameraCritiqueVoie1</t>
  </si>
  <si>
    <t>Alarmes_Voies_Voie_1_TempératureCameraCritiqueVoie1</t>
  </si>
  <si>
    <t>A122</t>
  </si>
  <si>
    <t>Alarmes.SexageVoie(1).TemperatureCameraCritique</t>
  </si>
  <si>
    <t xml:space="preserve">Défaut température caméra voie 1 </t>
  </si>
  <si>
    <t>CapteurDebit_ComError</t>
  </si>
  <si>
    <t>Alarmes_Voies_Voie_1_CapteurDebit_ComError</t>
  </si>
  <si>
    <t>A123</t>
  </si>
  <si>
    <t>Alarmes.CapteurDebitComError(1)</t>
  </si>
  <si>
    <t>Défaut communication capteur de débit voie 1</t>
  </si>
  <si>
    <t>DefautCuda</t>
  </si>
  <si>
    <t>Alarmes_Voies_Voie_1_DefautCuda</t>
  </si>
  <si>
    <t>A124</t>
  </si>
  <si>
    <t>Alarmes.SexageVoie(1).DefautCuda</t>
  </si>
  <si>
    <t>Défaut Cuda voie 1</t>
  </si>
  <si>
    <t>DefautInitAppli</t>
  </si>
  <si>
    <t>Alarmes_Voies_Voie_1_DefautInitAppli</t>
  </si>
  <si>
    <t>A125</t>
  </si>
  <si>
    <t>Alarmes.SexageVoie(1).InitAppli</t>
  </si>
  <si>
    <t>Défaut initialisation application voie 1</t>
  </si>
  <si>
    <t>CapteurDeDebit_AvertissementFemelle</t>
  </si>
  <si>
    <t>Alarmes_Voies_Voie_1_CapteurDeDebit_AvertissementFemelle</t>
  </si>
  <si>
    <t>A126</t>
  </si>
  <si>
    <t>Alarmes.CapteurDebit_AvertissementFemelleVoie(1)</t>
  </si>
  <si>
    <t>CapteurDeDebit_DefautFemelle</t>
  </si>
  <si>
    <t>Alarmes_Voies_Voie_1_CapteurDeDebit_DefautFemelle</t>
  </si>
  <si>
    <t>A127</t>
  </si>
  <si>
    <t>Alarmes.CapteurDebit_DefautFemelleVoie(1)</t>
  </si>
  <si>
    <t>Alarmes_Voies_Voie_2_PoussinCoinceEntreeVoie</t>
  </si>
  <si>
    <t>A201</t>
  </si>
  <si>
    <t>Alarmes.SexageVoie(2).PoussinCoinceEnSortieAnalyse</t>
  </si>
  <si>
    <t>Poussin coincé en sortie Analyse voie 2</t>
  </si>
  <si>
    <t>Alarmes_Voies_Voie_2_BitDeVie</t>
  </si>
  <si>
    <t>A204</t>
  </si>
  <si>
    <t>Alarmes.SexageVoie(2).BitDeVie</t>
  </si>
  <si>
    <t>Défaut communication PC / PLC voie 2</t>
  </si>
  <si>
    <t>Alarmes_Voies_Voie_2_DetectionDeNoir</t>
  </si>
  <si>
    <t>A205</t>
  </si>
  <si>
    <t>Alarmes.SexageVoie(2).DetectionDeNoir</t>
  </si>
  <si>
    <t>Détection de noir sur la voie 2, vérifier que les caches des caméras sont bien retirés</t>
  </si>
  <si>
    <t>Alarmes_Voies_Voie_2_DefautAcquisition</t>
  </si>
  <si>
    <t>A206</t>
  </si>
  <si>
    <t>Alarmes.SexageVoie(2).DefautAcquisition</t>
  </si>
  <si>
    <t>Défaut acquisition voie 2, le PC ne reçoit pas les images</t>
  </si>
  <si>
    <t>Alarmes_Voies_Voie_2_TemperatureCameraElevee</t>
  </si>
  <si>
    <t>A207</t>
  </si>
  <si>
    <t>Alarmes.SexageVoie(2).TemperatureCameraElevee</t>
  </si>
  <si>
    <t>Température caméras voie 2 trop élevée</t>
  </si>
  <si>
    <t>Alarmes_Voies_Voie_2_Salissure</t>
  </si>
  <si>
    <t>A208</t>
  </si>
  <si>
    <t>Alarmes.SexageVoie(2).Salissure</t>
  </si>
  <si>
    <t>Défaut salissure zone de prise d'image voie 2, nettoyer la zone</t>
  </si>
  <si>
    <t>Alarmes_Voies_Voie_2_DefautEclairage</t>
  </si>
  <si>
    <t>A209</t>
  </si>
  <si>
    <t>Alarmes.SexageVoie(2).DefautEclairage</t>
  </si>
  <si>
    <t>Défaut éclairage voie 2</t>
  </si>
  <si>
    <t>Alarmes_Voies_Voie_2_TropDePoussinsDifficilementSexable</t>
  </si>
  <si>
    <t>A210</t>
  </si>
  <si>
    <t>Alarmes.SexageVoie(2).TropDePoussinsDifficilementSexable</t>
  </si>
  <si>
    <t>Défaut sexage voie 2, trop de poussins difficilement sexables</t>
  </si>
  <si>
    <t>Alarmes_Voies_Voie_2_TropDePoussinsColles</t>
  </si>
  <si>
    <t>A211</t>
  </si>
  <si>
    <t>Alarmes.SexageVoie(2).TropDePoussinsColles</t>
  </si>
  <si>
    <t>Défaut répartition voie 2, trop de poussins collés sur les images</t>
  </si>
  <si>
    <t>Alarmes_Voies_Voie_2_SurchargeHDD</t>
  </si>
  <si>
    <t>A212</t>
  </si>
  <si>
    <t>Alarmes.SexageVoie(2).SurchargeHDD</t>
  </si>
  <si>
    <t>Surcharge disque dur SSD  PC N°1</t>
  </si>
  <si>
    <t>Alarmes_Voies_Voie_2_FrequenceGPUBasse</t>
  </si>
  <si>
    <t>A214</t>
  </si>
  <si>
    <t>Alarmes.SexageVoie(2).FrequenceGPUBasse</t>
  </si>
  <si>
    <t>Fréquence GPU basse  PC N°1</t>
  </si>
  <si>
    <t>Alarmes_Voies_Voie_2_TemperatureGPUElevee</t>
  </si>
  <si>
    <t>A215</t>
  </si>
  <si>
    <t>Alarmes.SexageVoie(2).TemperatureGPUElevee</t>
  </si>
  <si>
    <t>Alarmes_Voies_Voie_2_SurchargeGPU</t>
  </si>
  <si>
    <t>A216</t>
  </si>
  <si>
    <t>Alarmes.SexageVoie(2).SurchargeGPU</t>
  </si>
  <si>
    <t>Alarmes_Voies_Voie_2_SurchargeRAM</t>
  </si>
  <si>
    <t>A217</t>
  </si>
  <si>
    <t>Alarmes.SexageVoie(2).SurchargeRAM</t>
  </si>
  <si>
    <t>Alarmes_Voies_Voie_2_TemperatureCPUElevee</t>
  </si>
  <si>
    <t>A218</t>
  </si>
  <si>
    <t>Alarmes.SexageVoie(2).TemperatureCPUElevee</t>
  </si>
  <si>
    <t>Alarmes_Voies_Voie_2_SurchargeCPU</t>
  </si>
  <si>
    <t>A219</t>
  </si>
  <si>
    <t>Alarmes.SexageVoie(2).SurchargeCPU</t>
  </si>
  <si>
    <t>Alarmes_Voies_Voie_2_CapteurDeDebit_Avertissement</t>
  </si>
  <si>
    <t>A220</t>
  </si>
  <si>
    <t>Alarmes.CapteurDebit_AvertissementVoie(2)</t>
  </si>
  <si>
    <t>Avertissement capteur de débit voie 2</t>
  </si>
  <si>
    <t>Alarmes_Voies_Voie_2_CapteurDeDebit_Defaut</t>
  </si>
  <si>
    <t>A221</t>
  </si>
  <si>
    <t>Alarmes.CapteurDebit_DefautVoie(2)</t>
  </si>
  <si>
    <t>Défaut capteur de débit voie 2</t>
  </si>
  <si>
    <t>TempératureCameraCritiqueVoie2</t>
  </si>
  <si>
    <t>Alarmes_Voies_Voie_2_TempératureCameraCritiqueVoie2</t>
  </si>
  <si>
    <t>A222</t>
  </si>
  <si>
    <t>Alarmes.SexageVoie(2).TemperatureCameraCritique</t>
  </si>
  <si>
    <t>Défaut température caméra voie 2</t>
  </si>
  <si>
    <t>Alarmes_Voies_Voie_2_CapteurDebit_ComError</t>
  </si>
  <si>
    <t>A223</t>
  </si>
  <si>
    <t>Alarmes.CapteurDebitComError(2)</t>
  </si>
  <si>
    <t>Défaut communication capteur de débit voie 2</t>
  </si>
  <si>
    <t>Alarmes_Voies_Voie_2_DefautCuda</t>
  </si>
  <si>
    <t>A224</t>
  </si>
  <si>
    <t>Alarmes.SexageVoie(2).DefautCuda</t>
  </si>
  <si>
    <t>Défaut Cuda voie 2</t>
  </si>
  <si>
    <t>Alarmes_Voies_Voie_2_DefautInitAppli</t>
  </si>
  <si>
    <t>A225</t>
  </si>
  <si>
    <t>Alarmes.SexageVoie(2).InitAppli</t>
  </si>
  <si>
    <t>Défaut initialisation application voie 2</t>
  </si>
  <si>
    <t>Alarmes_Voies_Voie_2_CapteurDeDebit_AvertissementFemelle</t>
  </si>
  <si>
    <t>A226</t>
  </si>
  <si>
    <t>Alarmes.CapteurDebit_AvertissementFemelleVoie(2)</t>
  </si>
  <si>
    <t>Alarmes_Voies_Voie_2_CapteurDeDebit_DefautFemelle</t>
  </si>
  <si>
    <t>A227</t>
  </si>
  <si>
    <t>Alarmes.CapteurDebit_DefautFemelleVoie(2)</t>
  </si>
  <si>
    <t>Alarmes_Voies_Voie_3_PoussinCoinceEntreeVoie</t>
  </si>
  <si>
    <t>A301</t>
  </si>
  <si>
    <t>Alarmes.SexageVoie(3).PoussinCoinceEnSortieAnalyse</t>
  </si>
  <si>
    <t>Poussin coincé en sortie Analyse voie 3</t>
  </si>
  <si>
    <t>Alarmes_Voies_Voie_3_BitDeVie</t>
  </si>
  <si>
    <t>A304</t>
  </si>
  <si>
    <t>Alarmes.SexageVoie(3).BitDeVie</t>
  </si>
  <si>
    <t>Défaut communication PC / PLC voie 3</t>
  </si>
  <si>
    <t>Alarmes_Voies_Voie_3_DetectionDeNoir</t>
  </si>
  <si>
    <t>A305</t>
  </si>
  <si>
    <t>Alarmes.SexageVoie(3).DetectionDeNoir</t>
  </si>
  <si>
    <t>Détection de noir sur la voie 3, vérifier que les caches des caméras sont bien retirés</t>
  </si>
  <si>
    <t>Alarmes_Voies_Voie_3_DefautAcquisition</t>
  </si>
  <si>
    <t>A306</t>
  </si>
  <si>
    <t>Alarmes.SexageVoie(3).DefautAcquisition</t>
  </si>
  <si>
    <t>Défaut acquisition voie 3, le PC ne reçoit pas les images</t>
  </si>
  <si>
    <t>Alarmes_Voies_Voie_3_TemperatureCameraElevee</t>
  </si>
  <si>
    <t>A307</t>
  </si>
  <si>
    <t>Alarmes.SexageVoie(3).TemperatureCameraElevee</t>
  </si>
  <si>
    <t>Température caméras voie 3 trop élevée</t>
  </si>
  <si>
    <t>Alarmes_Voies_Voie_3_Salissure</t>
  </si>
  <si>
    <t>A308</t>
  </si>
  <si>
    <t>Alarmes.SexageVoie(3).Salissure</t>
  </si>
  <si>
    <t>Défaut salissure zone de prise d'image voie 3, nettoyer la zone</t>
  </si>
  <si>
    <t>Alarmes_Voies_Voie_3_DefautEclairage</t>
  </si>
  <si>
    <t>A309</t>
  </si>
  <si>
    <t>Alarmes.SexageVoie(3).DefautEclairage</t>
  </si>
  <si>
    <t>Défaut éclairage voie 3</t>
  </si>
  <si>
    <t>Alarmes_Voies_Voie_3_TropDePoussinsDifficilementSexable</t>
  </si>
  <si>
    <t>A310</t>
  </si>
  <si>
    <t>Alarmes.SexageVoie(3).TropDePoussinsDifficilementSexable</t>
  </si>
  <si>
    <t>Défaut sexage voie 3, trop de poussins difficilement sexables</t>
  </si>
  <si>
    <t>Alarmes_Voies_Voie_3_TropDePoussinsColles</t>
  </si>
  <si>
    <t>A311</t>
  </si>
  <si>
    <t>Alarmes.SexageVoie(3).TropDePoussinsColles</t>
  </si>
  <si>
    <t>Défaut répartition voie 3, trop de poussins collés sur les images</t>
  </si>
  <si>
    <t>Alarmes_Voies_Voie_3_SurchargeHDD</t>
  </si>
  <si>
    <t>A312</t>
  </si>
  <si>
    <t>Alarmes.SexageVoie(3).SurchargeHDD</t>
  </si>
  <si>
    <t>Surcharge disque dur SSD  PC N°2</t>
  </si>
  <si>
    <t>Alarmes_Voies_Voie_3_FrequenceGPUBasse</t>
  </si>
  <si>
    <t>A314</t>
  </si>
  <si>
    <t>Alarmes.SexageVoie(3).FrequenceGPUBasse</t>
  </si>
  <si>
    <t>Fréquence GPU basse PC N°2</t>
  </si>
  <si>
    <t>Alarmes_Voies_Voie_3_TemperatureGPUElevee</t>
  </si>
  <si>
    <t>A315</t>
  </si>
  <si>
    <t>Alarmes.SexageVoie(3).TemperatureGPUElevee</t>
  </si>
  <si>
    <t>Température CPU PC N°2 trop élevée</t>
  </si>
  <si>
    <t>SurchargeGPU1</t>
  </si>
  <si>
    <t>Alarmes_Voies_Voie_3_SurchargeGPU1</t>
  </si>
  <si>
    <t>A316</t>
  </si>
  <si>
    <t>Alarmes.SexageVoie(3).SurchargeGPU</t>
  </si>
  <si>
    <t>Surcharge GPU PC N°2</t>
  </si>
  <si>
    <t>Alarmes_Voies_Voie_3_SurchargeRAM</t>
  </si>
  <si>
    <t>A317</t>
  </si>
  <si>
    <t>Alarmes.SexageVoie(3).SurchargeRAM</t>
  </si>
  <si>
    <t>Surcharge RAM PC N°2</t>
  </si>
  <si>
    <t>Alarmes_Voies_Voie_3_TemperatureCPUElevee</t>
  </si>
  <si>
    <t>A318</t>
  </si>
  <si>
    <t>Alarmes.SexageVoie(3).TemperatureCPUElevee</t>
  </si>
  <si>
    <t>Alarmes_Voies_Voie_3_SurchargeCPU</t>
  </si>
  <si>
    <t>A319</t>
  </si>
  <si>
    <t>Alarmes.SexageVoie(3).SurchargeCPU</t>
  </si>
  <si>
    <t>Surcharge CPU PC N°2</t>
  </si>
  <si>
    <t>Alarmes_Voies_Voie_3_CapteurDeDebit_Avertissement</t>
  </si>
  <si>
    <t>A320</t>
  </si>
  <si>
    <t>Alarmes.CapteurDebit_AvertissementVoie(3)</t>
  </si>
  <si>
    <t>Avertissement capteur de débit voie 3</t>
  </si>
  <si>
    <t>Alarmes_Voies_Voie_3_CapteurDeDebit_Defaut</t>
  </si>
  <si>
    <t>A321</t>
  </si>
  <si>
    <t>Alarmes.CapteurDebit_DefautVoie(3)</t>
  </si>
  <si>
    <t>Défaut capteur de débit voie 3</t>
  </si>
  <si>
    <t>TempératureCameraCritiqueVoie3</t>
  </si>
  <si>
    <t>Alarmes_Voies_Voie_3_TempératureCameraCritiqueVoie3</t>
  </si>
  <si>
    <t>A322</t>
  </si>
  <si>
    <t>Alarmes.SexageVoie(3).TemperatureCameraCritique</t>
  </si>
  <si>
    <t>Défaut température caméra voie 3</t>
  </si>
  <si>
    <t>Alarmes_Voies_Voie_3_CapteurDebit_ComError</t>
  </si>
  <si>
    <t>A323</t>
  </si>
  <si>
    <t>Alarmes.CapteurDebitComError(3)</t>
  </si>
  <si>
    <t>Défaut communication capteur de débit voie 3</t>
  </si>
  <si>
    <t>Alarmes_Voies_Voie_3_DefautCuda</t>
  </si>
  <si>
    <t>A324</t>
  </si>
  <si>
    <t>Alarmes.SexageVoie(3).DefautCuda</t>
  </si>
  <si>
    <t>Défaut Cuda voie 3</t>
  </si>
  <si>
    <t>Alarmes_Voies_Voie_3_DefautInitAppli</t>
  </si>
  <si>
    <t>A325</t>
  </si>
  <si>
    <t>Alarmes.SexageVoie(3).InitAppli</t>
  </si>
  <si>
    <t>Défaut initialisation application voie 3</t>
  </si>
  <si>
    <t>Alarmes_Voies_Voie_3_CapteurDeDebit_AvertissementFemelle</t>
  </si>
  <si>
    <t>A326</t>
  </si>
  <si>
    <t>Alarmes.CapteurDebit_AvertissementFemelleVoie(3)</t>
  </si>
  <si>
    <t>Alarmes_Voies_Voie_3_CapteurDeDebit_DefautFemelle</t>
  </si>
  <si>
    <t>A327</t>
  </si>
  <si>
    <t>Alarmes.CapteurDebit_DefautFemelleVoie(3)</t>
  </si>
  <si>
    <t>Alarmes_Voies_Voie_4_PoussinCoinceEntreeVoie</t>
  </si>
  <si>
    <t>A401</t>
  </si>
  <si>
    <t>Alarmes.SexageVoie(4).PoussinCoinceEnSortieAnalyse</t>
  </si>
  <si>
    <t>Poussin coincé en sortie Analyse voie 4</t>
  </si>
  <si>
    <t>Alarmes_Voies_Voie_4_BitDeVie</t>
  </si>
  <si>
    <t>A404</t>
  </si>
  <si>
    <t>Alarmes.SexageVoie(4).BitDeVie</t>
  </si>
  <si>
    <t>Défaut communication PC / PLC voie 4</t>
  </si>
  <si>
    <t>Alarmes_Voies_Voie_4_DetectionDeNoir</t>
  </si>
  <si>
    <t>A405</t>
  </si>
  <si>
    <t>Alarmes.SexageVoie(4).DetectionDeNoir</t>
  </si>
  <si>
    <t>Détection de noir sur la voie 4, vérifier que les caches des caméras sont bien retirés</t>
  </si>
  <si>
    <t>Alarmes_Voies_Voie_4_DefautAcquisition</t>
  </si>
  <si>
    <t>A406</t>
  </si>
  <si>
    <t>Alarmes.SexageVoie(4).DefautAcquisition</t>
  </si>
  <si>
    <t>Défaut acquisition voie 4, le PC ne reçoit pas les images</t>
  </si>
  <si>
    <t>Alarmes_Voies_Voie_4_TemperatureCameraElevee</t>
  </si>
  <si>
    <t>A407</t>
  </si>
  <si>
    <t>Alarmes.SexageVoie(4).TemperatureCameraElevee</t>
  </si>
  <si>
    <t>Température caméras voie 4 trop élevée</t>
  </si>
  <si>
    <t>Alarmes_Voies_Voie_4_Salissure</t>
  </si>
  <si>
    <t>A408</t>
  </si>
  <si>
    <t>Alarmes.SexageVoie(4).Salissure</t>
  </si>
  <si>
    <t>Défaut salissure zone de prise d'image voie 4, nettoyer la zone</t>
  </si>
  <si>
    <t>Alarmes_Voies_Voie_4_DefautEclairage</t>
  </si>
  <si>
    <t>A409</t>
  </si>
  <si>
    <t>Alarmes.SexageVoie(4).DefautEclairage</t>
  </si>
  <si>
    <t>Défaut éclairage voie 4</t>
  </si>
  <si>
    <t>Alarmes_Voies_Voie_4_TropDePoussinsDifficilementSexable</t>
  </si>
  <si>
    <t>A410</t>
  </si>
  <si>
    <t>Alarmes.SexageVoie(4).TropDePoussinsDifficilementSexable</t>
  </si>
  <si>
    <t>Défaut sexage voie 4, trop de poussins difficilement sexables</t>
  </si>
  <si>
    <t>Alarmes_Voies_Voie_4_TropDePoussinsColles</t>
  </si>
  <si>
    <t>A411</t>
  </si>
  <si>
    <t>Alarmes.SexageVoie(4).TropDePoussinsColles</t>
  </si>
  <si>
    <t>Défaut répartition voie 4, trop de poussins collés sur les images</t>
  </si>
  <si>
    <t>Alarmes_Voies_Voie_4_SurchargeHDD</t>
  </si>
  <si>
    <t>A412</t>
  </si>
  <si>
    <t>Alarmes.SexageVoie(4).SurchargeHDD</t>
  </si>
  <si>
    <t>Surcharge disque dur SSD PC N°2</t>
  </si>
  <si>
    <t>Alarmes_Voies_Voie_4_FrequenceGPUBasse</t>
  </si>
  <si>
    <t>A413</t>
  </si>
  <si>
    <t>Alarmes.SexageVoie(4).FrequenceGPUBasse</t>
  </si>
  <si>
    <t>Alarmes_Voies_Voie_4_TemperatureGPUElevee</t>
  </si>
  <si>
    <t>A415</t>
  </si>
  <si>
    <t>Alarmes.SexageVoie(4).TemperatureGPUElevee</t>
  </si>
  <si>
    <t>Température GPU PC N°2 trop élevée</t>
  </si>
  <si>
    <t>Alarmes_Voies_Voie_4_SurchargeGPU1</t>
  </si>
  <si>
    <t>A416</t>
  </si>
  <si>
    <t>Alarmes.SexageVoie(4).SurchargeGPU</t>
  </si>
  <si>
    <t>Alarmes_Voies_Voie_4_SurchargeRAM</t>
  </si>
  <si>
    <t>A417</t>
  </si>
  <si>
    <t>Alarmes.SexageVoie(4).SurchargeRAM</t>
  </si>
  <si>
    <t>Alarmes_Voies_Voie_4_TemperatureCPUElevee</t>
  </si>
  <si>
    <t>A418</t>
  </si>
  <si>
    <t>Alarmes.SexageVoie(4).TemperatureCPUElevee</t>
  </si>
  <si>
    <t>Alarmes_Voies_Voie_4_SurchargeCPU</t>
  </si>
  <si>
    <t>A419</t>
  </si>
  <si>
    <t>Alarmes.SexageVoie(4).SurchargeCPU</t>
  </si>
  <si>
    <t>Alarmes_Voies_Voie_4_CapteurDeDebit_Avertissement</t>
  </si>
  <si>
    <t>A420</t>
  </si>
  <si>
    <t>Alarmes.CapteurDebit_AvertissementVoie(4)</t>
  </si>
  <si>
    <t>Avertissement capteur de débit voie 4</t>
  </si>
  <si>
    <t>Alarmes_Voies_Voie_4_CapteurDeDebit_Defaut</t>
  </si>
  <si>
    <t>A421</t>
  </si>
  <si>
    <t>Alarmes.CapteurDebit_DefautVoie(4)</t>
  </si>
  <si>
    <t>Défaut capteur de débit voie 4</t>
  </si>
  <si>
    <t>TempératureCameraCritiqueVoie4</t>
  </si>
  <si>
    <t>Alarmes_Voies_Voie_4_TempératureCameraCritiqueVoie4</t>
  </si>
  <si>
    <t>A422</t>
  </si>
  <si>
    <t>Alarmes.SexageVoie(4).TemperatureCameraCritique</t>
  </si>
  <si>
    <t>Défaut température caméra voie 4</t>
  </si>
  <si>
    <t>Alarmes_Voies_Voie_4_CapteurDebit_ComError</t>
  </si>
  <si>
    <t>A423</t>
  </si>
  <si>
    <t>Alarmes.CapteurDebitComError(4)</t>
  </si>
  <si>
    <t>Défaut communication capteur de débit voie 4</t>
  </si>
  <si>
    <t>Alarmes_Voies_Voie_4_DefautCuda</t>
  </si>
  <si>
    <t>A424</t>
  </si>
  <si>
    <t>Alarmes.SexageVoie(4).DefautCuda</t>
  </si>
  <si>
    <t>Défaut Cuda voie 4</t>
  </si>
  <si>
    <t>Alarmes_Voies_Voie_4_DefautInitAppli</t>
  </si>
  <si>
    <t>A425</t>
  </si>
  <si>
    <t>Alarmes.SexageVoie(4).InitAppli</t>
  </si>
  <si>
    <t>Défaut initialisation application voie 4</t>
  </si>
  <si>
    <t>Alarmes_Voies_Voie_4_CapteurDeDebit_AvertissementFemelle</t>
  </si>
  <si>
    <t>A426</t>
  </si>
  <si>
    <t>Alarmes.CapteurDebit_AvertissementFemelleVoie(4)</t>
  </si>
  <si>
    <t>Alarmes_Voies_Voie_4_CapteurDeDebit_DefautFemelle</t>
  </si>
  <si>
    <t>A427</t>
  </si>
  <si>
    <t>Alarmes.CapteurDebit_DefautFemelleVoie(4)</t>
  </si>
  <si>
    <t>Alarmes_Voies_Voie_5_PoussinCoinceEntreeVoie</t>
  </si>
  <si>
    <t>A501</t>
  </si>
  <si>
    <t>Alarmes.SexageVoie(5).PoussinCoinceEnSortieAnalyse</t>
  </si>
  <si>
    <t>Poussin coincé en sortie Analyse voie 5</t>
  </si>
  <si>
    <t>Alarmes_Voies_Voie_5_BitDeVie</t>
  </si>
  <si>
    <t>A504</t>
  </si>
  <si>
    <t>Alarmes.SexageVoie(5).BitDeVie</t>
  </si>
  <si>
    <t>Défaut communication PC / PLC voie 5</t>
  </si>
  <si>
    <t>Alarmes_Voies_Voie_5_DetectionDeNoir</t>
  </si>
  <si>
    <t>A505</t>
  </si>
  <si>
    <t>Alarmes.SexageVoie(5).DetectionDeNoir</t>
  </si>
  <si>
    <t>Détection de noir sur la voie 5, vérifier que les caches des caméras sont bien retirés</t>
  </si>
  <si>
    <t>Alarmes_Voies_Voie_5_DefautAcquisition</t>
  </si>
  <si>
    <t>A506</t>
  </si>
  <si>
    <t>Alarmes.SexageVoie(5).DefautAcquisition</t>
  </si>
  <si>
    <t>Défaut acquisition voie 5, le PC ne reçoit pas les images</t>
  </si>
  <si>
    <t>Alarmes_Voies_Voie_5_TemperatureCameraElevee</t>
  </si>
  <si>
    <t>A507</t>
  </si>
  <si>
    <t>Alarmes.SexageVoie(5).TemperatureCameraElevee</t>
  </si>
  <si>
    <t>Température caméras voie 5 trop élevée</t>
  </si>
  <si>
    <t>Alarmes_Voies_Voie_5_Salissure</t>
  </si>
  <si>
    <t>A508</t>
  </si>
  <si>
    <t>Alarmes.SexageVoie(5).Salissure</t>
  </si>
  <si>
    <t>Défaut salissure zone de prise d'image voie 5, nettoyer la zone</t>
  </si>
  <si>
    <t>Alarmes_Voies_Voie_5_DefautEclairage</t>
  </si>
  <si>
    <t>A509</t>
  </si>
  <si>
    <t>Alarmes.SexageVoie(5).DefautEclairage</t>
  </si>
  <si>
    <t>Défaut éclairage voie 5</t>
  </si>
  <si>
    <t>Alarmes_Voies_Voie_5_TropDePoussinsDifficilementSexable</t>
  </si>
  <si>
    <t>A510</t>
  </si>
  <si>
    <t>Alarmes.SexageVoie(5).TropDePoussinsDifficilementSexable</t>
  </si>
  <si>
    <t>Défaut sexage voie 5, trop de poussins difficilement sexables</t>
  </si>
  <si>
    <t>Alarmes_Voies_Voie_5_TropDePoussinsColles</t>
  </si>
  <si>
    <t>A511</t>
  </si>
  <si>
    <t>Alarmes.SexageVoie(5).TropDePoussinsColles</t>
  </si>
  <si>
    <t>Défaut répartition voie 5, trop de poussins collés sur les images</t>
  </si>
  <si>
    <t>Alarmes_Voies_Voie_5_SurchargeHDD</t>
  </si>
  <si>
    <t>A512</t>
  </si>
  <si>
    <t>Alarmes.SexageVoie(5).SurchargeHDD</t>
  </si>
  <si>
    <t>Surcharge disque dur SSD PC N°3</t>
  </si>
  <si>
    <t>FrequenceGPUbasse</t>
  </si>
  <si>
    <t>Alarmes_Voies_Voie_5_FrequenceGPUbasse</t>
  </si>
  <si>
    <t>A513</t>
  </si>
  <si>
    <t>Alarmes.SexageVoie(5).FrequenceGPUBasse</t>
  </si>
  <si>
    <t>Fréquence GPU basse PC N°3</t>
  </si>
  <si>
    <t>Alarmes_Voies_Voie_5_TemperatureGPUElevee</t>
  </si>
  <si>
    <t>A515</t>
  </si>
  <si>
    <t>Alarmes.SexageVoie(5).TemperatureGPUElevee</t>
  </si>
  <si>
    <t>Température GPU PC N°3 trop élevée</t>
  </si>
  <si>
    <t>Alarmes_Voies_Voie_5_SurchargeGPU</t>
  </si>
  <si>
    <t>A516</t>
  </si>
  <si>
    <t>Alarmes.SexageVoie(5).SurchargeGPU</t>
  </si>
  <si>
    <t>Surcharge GPU PC N°3</t>
  </si>
  <si>
    <t>Alarmes_Voies_Voie_5_SurchargeRAM</t>
  </si>
  <si>
    <t>A517</t>
  </si>
  <si>
    <t>Alarmes.SexageVoie(5).SurchargeRAM</t>
  </si>
  <si>
    <t>Surcharge RAM PC N°3</t>
  </si>
  <si>
    <t>Alarmes_Voies_Voie_5_TemperatureCPUElevee</t>
  </si>
  <si>
    <t>A518</t>
  </si>
  <si>
    <t>Alarmes.SexageVoie(5).TemperatureCPUElevee</t>
  </si>
  <si>
    <t>Température CPU PC N°3 trop élevée</t>
  </si>
  <si>
    <t>Alarmes_Voies_Voie_5_SurchargeCPU</t>
  </si>
  <si>
    <t>A519</t>
  </si>
  <si>
    <t>Alarmes.SexageVoie(5).SurchargeCPU</t>
  </si>
  <si>
    <t>Surcharge CPU PC N°3</t>
  </si>
  <si>
    <t>Alarmes_Voies_Voie_5_CapteurDeDebit_Avertissement</t>
  </si>
  <si>
    <t>A520</t>
  </si>
  <si>
    <t>Alarmes.CapteurDebit_AvertissementVoie(5)</t>
  </si>
  <si>
    <t>Avertissement capteur de débit voie 5</t>
  </si>
  <si>
    <t>Alarmes_Voies_Voie_5_CapteurDeDebit_Defaut</t>
  </si>
  <si>
    <t>A521</t>
  </si>
  <si>
    <t>Alarmes.CapteurDebit_DefautVoie(5)</t>
  </si>
  <si>
    <t>Défaut capteur de débit voie 5</t>
  </si>
  <si>
    <t>TempératureCameraCritiqueVoie5</t>
  </si>
  <si>
    <t>Alarmes_Voies_Voie_5_TempératureCameraCritiqueVoie5</t>
  </si>
  <si>
    <t>A522</t>
  </si>
  <si>
    <t>Alarmes.SexageVoie(5).TemperatureCameraCritique</t>
  </si>
  <si>
    <t>Défaut température caméra voie 5</t>
  </si>
  <si>
    <t>Alarmes_Voies_Voie_5_CapteurDebit_ComError</t>
  </si>
  <si>
    <t>A523</t>
  </si>
  <si>
    <t>Alarmes.CapteurDebitComError(5)</t>
  </si>
  <si>
    <t>Défaut communication capteur de débit voie 5</t>
  </si>
  <si>
    <t>Alarmes_Voies_Voie_5_DefautCuda</t>
  </si>
  <si>
    <t>A524</t>
  </si>
  <si>
    <t>Alarmes.SexageVoie(5).DefautCuda</t>
  </si>
  <si>
    <t>Défaut Cuda voie 5</t>
  </si>
  <si>
    <t>Alarmes_Voies_Voie_5_DefautInitAppli</t>
  </si>
  <si>
    <t>A525</t>
  </si>
  <si>
    <t>Alarmes.SexageVoie(5).InitAppli</t>
  </si>
  <si>
    <t>Défaut initialisation application voie 5</t>
  </si>
  <si>
    <t>Alarmes_Voies_Voie_5_CapteurDeDebit_AvertissementFemelle</t>
  </si>
  <si>
    <t>A526</t>
  </si>
  <si>
    <t>Alarmes.CapteurDebit_AvertissementFemelleVoie(5)</t>
  </si>
  <si>
    <t>Alarmes_Voies_Voie_5_CapteurDeDebit_DefautFemelle</t>
  </si>
  <si>
    <t>A527</t>
  </si>
  <si>
    <t>Alarmes.CapteurDebit_DefautFemelleVoie(5)</t>
  </si>
  <si>
    <t>Alarmes_Voies_Voie_6_PoussinCoinceEntreeVoie</t>
  </si>
  <si>
    <t>A601</t>
  </si>
  <si>
    <t>Alarmes.SexageVoie(6).PoussinCoinceEnSortieAnalyse</t>
  </si>
  <si>
    <t>Poussin coincé en sortie Analyse voie 6</t>
  </si>
  <si>
    <t>Alarmes_Voies_Voie_6_BitDeVie</t>
  </si>
  <si>
    <t>A604</t>
  </si>
  <si>
    <t>Alarmes.SexageVoie(6).BitDeVie</t>
  </si>
  <si>
    <t>Défaut communication PC / PLC voie 6</t>
  </si>
  <si>
    <t>Alarmes_Voies_Voie_6_DetectionDeNoir</t>
  </si>
  <si>
    <t>A605</t>
  </si>
  <si>
    <t>Alarmes.SexageVoie(6).DetectionDeNoir</t>
  </si>
  <si>
    <t>Détection de noir sur la voie 6, vérifier que les caches des caméras sont bien retirés</t>
  </si>
  <si>
    <t>Alarmes_Voies_Voie_6_DefautAcquisition</t>
  </si>
  <si>
    <t>A606</t>
  </si>
  <si>
    <t>Alarmes.SexageVoie(6).DefautAcquisition</t>
  </si>
  <si>
    <t>Défaut acquisition voie 6, le PC ne reçoit pas les images</t>
  </si>
  <si>
    <t>Alarmes_Voies_Voie_6_TemperatureCameraElevee</t>
  </si>
  <si>
    <t>A607</t>
  </si>
  <si>
    <t>Alarmes.SexageVoie(6).TemperatureCameraElevee</t>
  </si>
  <si>
    <t>Température caméras voie 6 trop élevée</t>
  </si>
  <si>
    <t>Alarmes_Voies_Voie_6_Salissure</t>
  </si>
  <si>
    <t>A608</t>
  </si>
  <si>
    <t>Alarmes.SexageVoie(6).Salissure</t>
  </si>
  <si>
    <t>Défaut salissure zone de prise d'image voie 6, nettoyer la zone</t>
  </si>
  <si>
    <t>Alarmes_Voies_Voie_6_DefautEclairage</t>
  </si>
  <si>
    <t>A609</t>
  </si>
  <si>
    <t>Alarmes.SexageVoie(6).DefautEclairage</t>
  </si>
  <si>
    <t>Défaut éclairage voie 6</t>
  </si>
  <si>
    <t>Alarmes_Voies_Voie_6_TropDePoussinsDifficilementSexable</t>
  </si>
  <si>
    <t>A610</t>
  </si>
  <si>
    <t>Alarmes.SexageVoie(6).TropDePoussinsDifficilementSexable</t>
  </si>
  <si>
    <t>Défaut sexage voie 6, trop de poussins difficilement sexables</t>
  </si>
  <si>
    <t>Alarmes_Voies_Voie_6_TropDePoussinsColles</t>
  </si>
  <si>
    <t>A611</t>
  </si>
  <si>
    <t>Alarmes.SexageVoie(6).TropDePoussinsColles</t>
  </si>
  <si>
    <t>Défaut répartition voie 6, trop de poussins collés sur les images</t>
  </si>
  <si>
    <t>Alarmes_Voies_Voie_6_SurchargeHDD</t>
  </si>
  <si>
    <t>A612</t>
  </si>
  <si>
    <t>Alarmes.SexageVoie(6).SurchargeHDD</t>
  </si>
  <si>
    <t>Alarmes_Voies_Voie_6_FrequenceGPUbasse</t>
  </si>
  <si>
    <t>A613</t>
  </si>
  <si>
    <t>Alarmes.SexageVoie(6).FrequenceGPUBasse</t>
  </si>
  <si>
    <t>Alarmes_Voies_Voie_6_TemperatureGPUElevee</t>
  </si>
  <si>
    <t>A615</t>
  </si>
  <si>
    <t>Alarmes.SexageVoie(6).TemperatureGPUElevee</t>
  </si>
  <si>
    <t>Alarmes_Voies_Voie_6_SurchargeGPU</t>
  </si>
  <si>
    <t>A616</t>
  </si>
  <si>
    <t>Alarmes.SexageVoie(6).SurchargeGPU</t>
  </si>
  <si>
    <t>Alarmes_Voies_Voie_6_SurchargeRAM</t>
  </si>
  <si>
    <t>A617</t>
  </si>
  <si>
    <t>Alarmes.SexageVoie(6).SurchargeRAM</t>
  </si>
  <si>
    <t>Alarmes_Voies_Voie_6_TemperatureCPUElevee</t>
  </si>
  <si>
    <t>A618</t>
  </si>
  <si>
    <t>Alarmes.SexageVoie(6).TemperatureCPUElevee</t>
  </si>
  <si>
    <t>Alarmes_Voies_Voie_6_SurchargeCPU</t>
  </si>
  <si>
    <t>A619</t>
  </si>
  <si>
    <t>Alarmes.SexageVoie(6).SurchargeCPU</t>
  </si>
  <si>
    <t>Alarmes_Voies_Voie_6_CapteurDeDebit_Avertissement</t>
  </si>
  <si>
    <t>A620</t>
  </si>
  <si>
    <t>Alarmes.CapteurDebit_AvertissementVoie(6)</t>
  </si>
  <si>
    <t>Avertissement capteur de débit voie 6</t>
  </si>
  <si>
    <t>Alarmes_Voies_Voie_6_CapteurDeDebit_Defaut</t>
  </si>
  <si>
    <t>A621</t>
  </si>
  <si>
    <t>Alarmes.CapteurDebit_DefautVoie(6)</t>
  </si>
  <si>
    <t>Défaut capteur de débit voie 6</t>
  </si>
  <si>
    <t>TempératureCameraCritiqueVoie6</t>
  </si>
  <si>
    <t>Alarmes_Voies_Voie_6_TempératureCameraCritiqueVoie6</t>
  </si>
  <si>
    <t>A622</t>
  </si>
  <si>
    <t>Alarmes.SexageVoie(6).TemperatureCameraCritique</t>
  </si>
  <si>
    <t>Défaut température caméra voie 6</t>
  </si>
  <si>
    <t>Alarmes_Voies_Voie_6_CapteurDebit_ComError</t>
  </si>
  <si>
    <t>A623</t>
  </si>
  <si>
    <t>Alarmes.CapteurDebitComError(6)</t>
  </si>
  <si>
    <t>Défaut communication capteur de débit voie 6</t>
  </si>
  <si>
    <t>Alarmes_Voies_Voie_6_DefautCuda</t>
  </si>
  <si>
    <t>A624</t>
  </si>
  <si>
    <t>Alarmes.SexageVoie(6).DefautCuda</t>
  </si>
  <si>
    <t>Défaut Cuda voie 6</t>
  </si>
  <si>
    <t>Alarmes_Voies_Voie_6_DefautInitAppli</t>
  </si>
  <si>
    <t>A625</t>
  </si>
  <si>
    <t>Alarmes.SexageVoie(6).InitAppli</t>
  </si>
  <si>
    <t>Défaut initialisation application voie 6</t>
  </si>
  <si>
    <t>Alarmes_Voies_Voie_6_CapteurDeDebit_AvertissementFemelle</t>
  </si>
  <si>
    <t>A626</t>
  </si>
  <si>
    <t>Alarmes.CapteurDebit_AvertissementFemelleVoie(6)</t>
  </si>
  <si>
    <t>Alarmes_Voies_Voie_6_CapteurDeDebit_DefautFemelle</t>
  </si>
  <si>
    <t>A627</t>
  </si>
  <si>
    <t>Alarmes.CapteurDebit_DefautFemelleVoie(6)</t>
  </si>
  <si>
    <t>RECOPIER A PARTIR DE LA LIGNE 3</t>
  </si>
  <si>
    <t>Group Name</t>
  </si>
  <si>
    <t>Resource ID</t>
  </si>
  <si>
    <t>Français (France) [fr-FR]</t>
  </si>
  <si>
    <t>[root]</t>
  </si>
  <si>
    <t>Explication_Alarmes_Communes_ArretUrgence</t>
  </si>
  <si>
    <t>La boucle électrique d'arrêt d'urgence du relais de sécurité a été ouverte</t>
  </si>
  <si>
    <t>Explication_Alarmes_Communes_DisjoncteurElectronique</t>
  </si>
  <si>
    <t>Une sortie du module de protection électronique Q20 s'est coupée car il y a eu une surintensité sur une de ses voies.</t>
  </si>
  <si>
    <t>Explication_Alarmes_Communes_OnduleurSurBatterie</t>
  </si>
  <si>
    <t>L'onduleur ne détecte plus d'alimentation électrique et est passé en mode batterie, il renvoi un signal à l'automate</t>
  </si>
  <si>
    <t>Explication_Alarmes_Communes_Parafoudre</t>
  </si>
  <si>
    <t>Le module parafoudre a au moins une cartouche hors service</t>
  </si>
  <si>
    <t>Explication_Alarmes_Communes_PressionAir</t>
  </si>
  <si>
    <t>Le capteur de pression d'air général de la machine est hors plage de fonctionnement</t>
  </si>
  <si>
    <t>Explication_Alarmes_Communes_PasDePremierDemarrageValid</t>
  </si>
  <si>
    <t>L'automate détecte qu'il n'y a pas de valeurs dans les paramètres</t>
  </si>
  <si>
    <t>Explication_Alarmes_Communes_DetecttionPendantStressTest</t>
  </si>
  <si>
    <t>Pendant le mode stress test, un capteur a détecté quelque chose et le mode s'est stoppé</t>
  </si>
  <si>
    <t>Explication_Alarmes_Ethercat_Com_Noeud1</t>
  </si>
  <si>
    <t>Il y a un défaut de communication avec l'esclave Ethercat indiqué. Le voyant rouge du port Ethercat de l'automate clignote en rouge.</t>
  </si>
  <si>
    <t>Explication_Alarmes_Ethercat_Com_Noeud2</t>
  </si>
  <si>
    <t>Explication_Alarmes_Ethercat_Com_Noeud30</t>
  </si>
  <si>
    <t>Explication_Alarmes_Ethercat_Com_Noeud31</t>
  </si>
  <si>
    <t>Explication_Alarmes_Ethercat_Com_Noeud32</t>
  </si>
  <si>
    <t>Explication_Alarmes_Ethercat_Com_Noeud33</t>
  </si>
  <si>
    <t>Explication_Alarmes_Ethercat_Com_Noeud34</t>
  </si>
  <si>
    <t>Explication_Alarmes_Ethercat_Com_Noeud35</t>
  </si>
  <si>
    <t>Explication_Alarmes_Ethercat_Com_Noeud36</t>
  </si>
  <si>
    <t>Explication_Alarmes_Ethercat_Com_Noeud50</t>
  </si>
  <si>
    <t>Explication_Alarmes_Ethercat_Nb_TentativeResetAuto</t>
  </si>
  <si>
    <t>L'automate a essayé 5 fois de réarmer automatiquement un défaut sur le réseau Ethercat sans y parvenir. Le voyant rouge du port Ethercat de l'automate clignote en rouge.</t>
  </si>
  <si>
    <t>Explication_Alarmes_Ethercat_Com_Ethercat</t>
  </si>
  <si>
    <t>Il y a un défaut de communication entre l'automate et un esclave sur le réseau Ethercat (variateur, station déportée, …). Le voyant rouge du port Ethercat de l'automate clignote en rouge.</t>
  </si>
  <si>
    <t>Explication_Alarmes_Ethercat_Com_Noeud51</t>
  </si>
  <si>
    <t>Explication_Alarmes_Ethercat_Com_Noeud60</t>
  </si>
  <si>
    <t>Explication_Alarmes_Ethercat_Com_Noeud61</t>
  </si>
  <si>
    <t>Explication_Alarmes_Ethercat_Com_Noeud62</t>
  </si>
  <si>
    <t>Explication_Alarmes_Ethercat_Com_Noeud63</t>
  </si>
  <si>
    <t>Explication_Alarmes_Ethercat_Com_Noeud20</t>
  </si>
  <si>
    <t>Explication_Alarmes_Ethercat_Com_Noeud52</t>
  </si>
  <si>
    <t>Explication_Alarmes_Ethercat_Com_Noeud53</t>
  </si>
  <si>
    <t>Explication_Alarmes_Carte_ES_CarteMod1</t>
  </si>
  <si>
    <t>L'automate ne communique pas avec la carte MOD X.</t>
  </si>
  <si>
    <t>Explication_Alarmes_Carte_ES_CarteMod2</t>
  </si>
  <si>
    <t>Explication_Alarmes_Carte_ES_CarteMod3</t>
  </si>
  <si>
    <t>Explication_Alarmes_Carte_ES_CarteMod4</t>
  </si>
  <si>
    <t>Explication_Alarmes_Carte_ES_CarteMod5</t>
  </si>
  <si>
    <t>Explication_Alarmes_Carte_ES_CarteMod6</t>
  </si>
  <si>
    <t>Explication_Alarmes_Carte_ES_CarteMod7</t>
  </si>
  <si>
    <t>Explication_Alarmes_Carte_ES_CarteMod8</t>
  </si>
  <si>
    <t>Explication_Alarmes_Carte_ES_CarteMod9</t>
  </si>
  <si>
    <t>Explication_Alarmes_Carte_ES_CarteMod10</t>
  </si>
  <si>
    <t>Explication_Alarmes_Carte_ES_CarteMod11</t>
  </si>
  <si>
    <t>Explication_Alarmes_Programme_IntConvoyeurLigneDeTri</t>
  </si>
  <si>
    <t>Le variateur ne renvoi aucune valeur d'intensité à l'automate malgré le fait que l'automate demande au variateur de faire fonctionner le moteur</t>
  </si>
  <si>
    <t>Explication_Alarmes_Programme_ConvoyeurLigneDeTri</t>
  </si>
  <si>
    <t>Le variateur renvoi un défaut à l'automate, avec un code d'erreur. Ce code d'erreur est visible sur la page visualisation sur l'IHM, mais également sur l'afficheur du variateur.</t>
  </si>
  <si>
    <t>Explication_Alarmes_Programme_IntConvoyeurSeparateur</t>
  </si>
  <si>
    <t>Explication_Alarmes_Programme_ConvoyeurSeparateur</t>
  </si>
  <si>
    <t>Explication_Alarmes_Programme_IntConvoyeurAccelerateur</t>
  </si>
  <si>
    <t>Explication_Alarmes_Programme_ConvoyeurAccelerateur</t>
  </si>
  <si>
    <t>Explication_Alarmes_Programme_IntOscillationConvoyeurAccelerateur</t>
  </si>
  <si>
    <t>Explication_Alarmes_Programme_OscillationConvoyeurAccelerateur</t>
  </si>
  <si>
    <t>Explication_Alarmes_Programme_IntConvoyeurAcquisition</t>
  </si>
  <si>
    <t>Explication_Alarmes_Programme_ConvoyeurAcquisition</t>
  </si>
  <si>
    <t>Explication_Alarmes_Programme_IntOscillationConvoyeurAcquisition</t>
  </si>
  <si>
    <t>Explication_Alarmes_Programme_OscillationConvoyeurAcquisition</t>
  </si>
  <si>
    <t>Explication_Alarmes_Programme_IntConvoyeurSortie</t>
  </si>
  <si>
    <t>Explication_Alarmes_Programme_ConvoyeurSortie</t>
  </si>
  <si>
    <t>Explication_Alarmes_Programme_DisjElecQ121</t>
  </si>
  <si>
    <t>Une sortie du module de protection électronique Q121 s'est coupée car il y a eu une surintensité sur une de ses voies.</t>
  </si>
  <si>
    <t>Explication_Alarmes_Programme_DisjElecQ221</t>
  </si>
  <si>
    <t>Une sortie du module de protection électronique Q221 s'est coupée car il y a eu une surintensité sur une de ses voies.</t>
  </si>
  <si>
    <t>Explication_Alarmes_Programme_DisjElecQ321</t>
  </si>
  <si>
    <t>Une sortie du module de protection électronique Q321 s'est coupée car il y a eu une surintensité sur une de ses voies.</t>
  </si>
  <si>
    <t>Explication_Alarmes_Programme_CapteurGoulotteAiguillage</t>
  </si>
  <si>
    <t>La bonne position de la goulotte d'aiguillage en sortie de la machine peut être contrôlée par :
- un capteur inductif
- un capteur de sécurité rectangulaire (jaune)
- les 2</t>
  </si>
  <si>
    <t>Explication_Alarmes_Programme_CapteurOscillationAccelerateurModeConvoyeur</t>
  </si>
  <si>
    <t>En mode convoyeur, les systèmes d'oscillation doivent aller en petite vitesse jusqu'au capteur, puis les dépasser légèrement</t>
  </si>
  <si>
    <t>Explication_Alarmes_Programme_CapteurOscillationAccelerateurModeSexage</t>
  </si>
  <si>
    <t>En mode sexage, les systèmes d'oscillation tournent et donc le capteur doit souvent changer d'état</t>
  </si>
  <si>
    <t>Explication_Alarmes_Programme_CapteurOscillationAcquisitionModeConvoyeur</t>
  </si>
  <si>
    <t>Explication_Alarmes_Programme_CapteurOscillationAcquisitionModeSexage</t>
  </si>
  <si>
    <t>Explication_Alarmes_Programme_TemperatureArmoireElevee</t>
  </si>
  <si>
    <t xml:space="preserve">La température dans l'armoire électrique est surveillée à l'aide d'un capteur situé dans celle-ci </t>
  </si>
  <si>
    <t>Explication_Alarmes_Programme_TemperatureArmoireComErreur</t>
  </si>
  <si>
    <t>L'automate ne communique pas avec le capteur</t>
  </si>
  <si>
    <t>Explication_Alarmes_Programme_TemperatureB10Elevee</t>
  </si>
  <si>
    <t xml:space="preserve">La température dans l'armoire informatique est surveillée à l'aide d'un capteur situé dans celle-ci </t>
  </si>
  <si>
    <t>Explication_Alarmes_Programme_TemperatureB10ComErreur</t>
  </si>
  <si>
    <t>Explication_Alarmes_Programme_PressionAirComErreur</t>
  </si>
  <si>
    <t>Explication_Alarmes_Programme_IntConvVersCompteuse</t>
  </si>
  <si>
    <t>Explication_Alarmes_Programme_ConvVersCompteuse</t>
  </si>
  <si>
    <t>Explication_Alarmes_Programme_ThermiqueConvSeparateur</t>
  </si>
  <si>
    <t>Une information est renvoyée par le moteur à l'automate, en plus des retours déjà fait par le variateur. Il n'y a cette information que pour les moteurs Interoll qui sont à l'intérieur de la machine.</t>
  </si>
  <si>
    <t>Explication_Alarmes_Programme_ThermiqueConvAccelerateur</t>
  </si>
  <si>
    <t>Explication_Alarmes_Programme_ThermiqueConvAcquisition</t>
  </si>
  <si>
    <t>Explication_Alarmes_Programme_IntConvElevateurSortie</t>
  </si>
  <si>
    <t>Explication_Alarmes_Programme_ConvElevateurSortie</t>
  </si>
  <si>
    <t>Explication_Alarmes_Programme_IntConvElevateur2</t>
  </si>
  <si>
    <t>Explication_Alarmes_Programme_ConvElevateur2</t>
  </si>
  <si>
    <t>Explication_Alarmes_Programme_IntOscillationConvoyeurSeparateur</t>
  </si>
  <si>
    <t>Explication_Alarmes_Programme_OscillationConvoyeurSeparateur</t>
  </si>
  <si>
    <t>Explication_Alarmes_Programme_CapteurOscillationSeparateurModeConvoyeur</t>
  </si>
  <si>
    <t>Explication_Alarmes_Programme_CapteurOscillationSeparateurModeSexage</t>
  </si>
  <si>
    <t>Explication_Alarmes_Programme_IntConvEntreSortieEtElevateur</t>
  </si>
  <si>
    <t>Explication_Alarmes_Programme_ConvEntreSortieEtElevateur</t>
  </si>
  <si>
    <t>Explication_Alarmes_Programme_IntConvEntreeLigneDeTri</t>
  </si>
  <si>
    <t>Explication_Alarmes_Programme_ConvEntreeLigneDeTri</t>
  </si>
  <si>
    <t>Explication_Alarmes_Programme_IntConvEntreeBypass</t>
  </si>
  <si>
    <t>Explication_Alarmes_Programme_ConvEntreeBypass</t>
  </si>
  <si>
    <t>Explication_Alarmes_Programme_IntConvEntreeVersCompteuse</t>
  </si>
  <si>
    <t>Explication_Alarmes_Programme_ConvEntreeVersCompteuse</t>
  </si>
  <si>
    <t>Explication_Alarmes_Programme_Porte1Ouverte</t>
  </si>
  <si>
    <t>Chaque porte de la machine est équipée d'un capteur pour vérifier que celle-ci est bien fermée</t>
  </si>
  <si>
    <t>Explication_Alarmes_Programme_Porte2Ouverte</t>
  </si>
  <si>
    <t>Explication_Alarmes_Programme_Porte3Ouverte</t>
  </si>
  <si>
    <t>Explication_Alarmes_Programme_Porte4Ouverte</t>
  </si>
  <si>
    <t>Explication_Alarmes_Programme_Porte5Ouverte</t>
  </si>
  <si>
    <t>Explication_Alarmes_Programme_Porte6Ouverte</t>
  </si>
  <si>
    <t>Explication_Alarmes_Programme_EchangeurThermiqueDefaut1</t>
  </si>
  <si>
    <t>Quand la machine est équipée d'un système de refroidissement, ce défaut indique que quelque chose ne va pas au niveau de l'échangeur thermique</t>
  </si>
  <si>
    <t>Explication_Alarmes_Programme_EchangeurThermiqueDefaut2</t>
  </si>
  <si>
    <t>Quand la machine est équipée d'un système de refroidissement, ce défaut indique que la température dans l'armoire est trop élevée. Le système n'arrive pas à refroidir suffisamment l'armoire informatique</t>
  </si>
  <si>
    <t>Explication_Alarmes_Programme_GroupeFroidDefaut1</t>
  </si>
  <si>
    <t>Quand la machine est équipée d'un système de refroidissement, ce défaut indique que quelque chose ne va pas au niveau du groupe froid</t>
  </si>
  <si>
    <t>Explication_Alarmes_Programme_GroupeFroidDefaut2</t>
  </si>
  <si>
    <t>Explication_Alarmes_Programme_DiscordanceSEC02</t>
  </si>
  <si>
    <t>Le relais de sécurité SEC02, qui gère les portes et le système d'aiguillage est en défaut.</t>
  </si>
  <si>
    <t>Explication_Alarmes_Programme_IntConv2VersCompteuse</t>
  </si>
  <si>
    <t>Explication_Alarmes_Programme_Conv2VersCompteuse</t>
  </si>
  <si>
    <t>Explication_Alarmes_Programme_RempUrgentFiltre1</t>
  </si>
  <si>
    <t>Sur les machines équipées du nouveau système de filtration d'air, il y a 2 capteurs par filtres. Lorsque les 2 capteurs d'un même filtre sont actifs, cela veut dire qu'il faut changer rapidement le filtre, afin de garantir les bonnes performances de la machine.</t>
  </si>
  <si>
    <t>Explication_Alarmes_Programme_RempUrgentFiltre2</t>
  </si>
  <si>
    <t>Explication_Alarmes_Programme_RempUrgentFiltre3</t>
  </si>
  <si>
    <t>Explication_Alarmes_Voies_Voie_1_BitDeVie</t>
  </si>
  <si>
    <t>Il n'y a pas de communication entre l'automate (PLC) et l'application informatique de cette voie.</t>
  </si>
  <si>
    <t>Explication_Alarmes_Voies_Voie_1_PoussinCoinceEntreeVoie</t>
  </si>
  <si>
    <t>La machine estime qu'il y a au moins un poussin coincé quelque part, ce qui provoque des tas de poussins sur cette voie, sous l'analyse. Cela fausse donc les résultats.</t>
  </si>
  <si>
    <t>Explication_Alarmes_Voies_Voie_1_DefautAcquisition</t>
  </si>
  <si>
    <t>Le PC ne reçoit pas les images</t>
  </si>
  <si>
    <t>Explication_Alarmes_Voies_Voie_1_TemperatureCameraElevee</t>
  </si>
  <si>
    <t>La température d'au moins une des deux caméras de la voie est trop élevée. Les performances de la machine peuvent être diminuées.</t>
  </si>
  <si>
    <t>Explication_Alarmes_Voies_Voie_1_DefautEclairage</t>
  </si>
  <si>
    <t>Pas assez ou trop d'éclairage sur la voie</t>
  </si>
  <si>
    <t>Explication_Alarmes_Voies_Voie_1_TropDePoussinsDifficilementSexable</t>
  </si>
  <si>
    <t>Sur plusieurs centaines de poussins d'affilés, il y a eu trop de poussins difficilement sexables</t>
  </si>
  <si>
    <t>Explication_Alarmes_Voies_Voie_1_TropDePoussinsColles</t>
  </si>
  <si>
    <t>Sur plusieurs centaines de poussins d'affilés, il y a eu trop de poussins collés</t>
  </si>
  <si>
    <t>Explication_Alarmes_Voies_Voie_1_SurchargeHDD</t>
  </si>
  <si>
    <t>Le disque dur SSD du PC est occupé à plus de 90% de sa capacité</t>
  </si>
  <si>
    <t>Explication_Alarmes_Voies_Voie_1_SurchargeRAM</t>
  </si>
  <si>
    <t>La mémoire RAM du est surchargé à plus de 90% de sa capacité</t>
  </si>
  <si>
    <t>Explication_Alarmes_Voies_Voie_1_SurchargeCPU</t>
  </si>
  <si>
    <t>La CPU du PC est surchargé à plus de 95% de sa capacité</t>
  </si>
  <si>
    <t>Explication_Alarmes_Voies_Voie_1_CapteurDeDebit_Avertissement</t>
  </si>
  <si>
    <t>Le débit d'air mesuré par le capteur de débit a été hors plage de fonctionnement pendant un certain nombre de fois. Ces codes sont pour l'aiguillage vers la voie intérieure.</t>
  </si>
  <si>
    <t>Explication_Alarmes_Voies_Voie_1_CapteurDeDebit_Defaut</t>
  </si>
  <si>
    <t>Explication_Alarmes_Voies_Voie_1_TempératureCameraCritiqueVoie1</t>
  </si>
  <si>
    <t>La température d'au moins une des deux caméras de la voie est critique. Les performances de la machine sont diminuées et il est urgent de faire quelque chose.</t>
  </si>
  <si>
    <t>Explication_Alarmes_Voies_Voie_1_CapteurDebit_ComError</t>
  </si>
  <si>
    <t>Explication_Alarmes_Voies_Voie_1_DefautCuda</t>
  </si>
  <si>
    <t>Il y a un problème (matériel ou logiciel) sur la carte graphique du PC, qui ne peut donc pas analyser les images</t>
  </si>
  <si>
    <t>Explication_Alarmes_Voies_Voie_1_DefautInitAppli</t>
  </si>
  <si>
    <t>L'application n'arrive pas à démarrer correctement</t>
  </si>
  <si>
    <t>Explication_Alarmes_Voies_Voie_1_CapteurDeDebit_AvertissementFemelle</t>
  </si>
  <si>
    <t>Le débit d'air mesuré par le capteur de débit a été hors plage de fonctionnement pendant un certain nombre de fois. Ces codes sont pour l'aiguillage vers la voie extérieure.</t>
  </si>
  <si>
    <t>Explication_Alarmes_Voies_Voie_1_CapteurDeDebit_DefautFemelle</t>
  </si>
  <si>
    <t>Explication_Alarmes_Voies_Voie_2_BitDeVie</t>
  </si>
  <si>
    <t>Explication_Alarmes_Voies_Voie_2_PoussinCoinceEntreeVoie</t>
  </si>
  <si>
    <t>Explication_Alarmes_Voies_Voie_2_DefautAcquisition</t>
  </si>
  <si>
    <t>Explication_Alarmes_Voies_Voie_2_TemperatureCameraElevee</t>
  </si>
  <si>
    <t>Explication_Alarmes_Voies_Voie_2_DefautEclairage</t>
  </si>
  <si>
    <t>Explication_Alarmes_Voies_Voie_2_TropDePoussinsDifficilementSexable</t>
  </si>
  <si>
    <t>Explication_Alarmes_Voies_Voie_2_TropDePoussinsColles</t>
  </si>
  <si>
    <t>Explication_Alarmes_Voies_Voie_2_SurchargeHDD</t>
  </si>
  <si>
    <t>Explication_Alarmes_Voies_Voie_2_SurchargeRAM</t>
  </si>
  <si>
    <t>Explication_Alarmes_Voies_Voie_2_SurchargeCPU</t>
  </si>
  <si>
    <t>Explication_Alarmes_Voies_Voie_2_CapteurDeDebit_Avertissement</t>
  </si>
  <si>
    <t>Explication_Alarmes_Voies_Voie_2_CapteurDeDebit_Defaut</t>
  </si>
  <si>
    <t>Explication_Alarmes_Voies_Voie_2_TempératureCameraCritiqueVoie1</t>
  </si>
  <si>
    <t>Explication_Alarmes_Voies_Voie_2_CapteurDebit_ComError</t>
  </si>
  <si>
    <t>Explication_Alarmes_Voies_Voie_2_DefautCuda</t>
  </si>
  <si>
    <t>Explication_Alarmes_Voies_Voie_2_DefautInitAppli</t>
  </si>
  <si>
    <t>Explication_Alarmes_Voies_Voie_2_CapteurDeDebit_AvertissementFemelle</t>
  </si>
  <si>
    <t>Explication_Alarmes_Voies_Voie_2_CapteurDeDebit_DefautFemelle</t>
  </si>
  <si>
    <t>Explication_Alarmes_Voies_Voie_3_BitDeVie</t>
  </si>
  <si>
    <t>Explication_Alarmes_Voies_Voie_3_PoussinCoinceEntreeVoie</t>
  </si>
  <si>
    <t>Explication_Alarmes_Voies_Voie_3_DefautAcquisition</t>
  </si>
  <si>
    <t>Explication_Alarmes_Voies_Voie_3_TemperatureCameraElevee</t>
  </si>
  <si>
    <t>Explication_Alarmes_Voies_Voie_3_DefautEclairage</t>
  </si>
  <si>
    <t>Explication_Alarmes_Voies_Voie_3_TropDePoussinsDifficilementSexable</t>
  </si>
  <si>
    <t>Explication_Alarmes_Voies_Voie_3_TropDePoussinsColles</t>
  </si>
  <si>
    <t>Explication_Alarmes_Voies_Voie_3_SurchargeHDD</t>
  </si>
  <si>
    <t>Explication_Alarmes_Voies_Voie_3_SurchargeRAM</t>
  </si>
  <si>
    <t>Explication_Alarmes_Voies_Voie_3_SurchargeCPU</t>
  </si>
  <si>
    <t>Explication_Alarmes_Voies_Voie_3_CapteurDeDebit_Avertissement</t>
  </si>
  <si>
    <t>Explication_Alarmes_Voies_Voie_3_CapteurDeDebit_Defaut</t>
  </si>
  <si>
    <t>Explication_Alarmes_Voies_Voie_3_TempératureCameraCritiqueVoie1</t>
  </si>
  <si>
    <t>Explication_Alarmes_Voies_Voie_3_CapteurDebit_ComError</t>
  </si>
  <si>
    <t>Explication_Alarmes_Voies_Voie_3_DefautCuda</t>
  </si>
  <si>
    <t>Explication_Alarmes_Voies_Voie_3_DefautInitAppli</t>
  </si>
  <si>
    <t>Explication_Alarmes_Voies_Voie_3_CapteurDeDebit_AvertissementFemelle</t>
  </si>
  <si>
    <t>Explication_Alarmes_Voies_Voie_3_CapteurDeDebit_DefautFemelle</t>
  </si>
  <si>
    <t>Explication_Alarmes_Voies_Voie_4_BitDeVie</t>
  </si>
  <si>
    <t>Explication_Alarmes_Voies_Voie_4_PoussinCoinceEntreeVoie</t>
  </si>
  <si>
    <t>Explication_Alarmes_Voies_Voie_4_DefautAcquisition</t>
  </si>
  <si>
    <t>Explication_Alarmes_Voies_Voie_4_TemperatureCameraElevee</t>
  </si>
  <si>
    <t>Explication_Alarmes_Voies_Voie_4_DefautEclairage</t>
  </si>
  <si>
    <t>Explication_Alarmes_Voies_Voie_4_TropDePoussinsDifficilementSexable</t>
  </si>
  <si>
    <t>Explication_Alarmes_Voies_Voie_4_TropDePoussinsColles</t>
  </si>
  <si>
    <t>Explication_Alarmes_Voies_Voie_4_SurchargeHDD</t>
  </si>
  <si>
    <t>Explication_Alarmes_Voies_Voie_4_SurchargeRAM</t>
  </si>
  <si>
    <t>Explication_Alarmes_Voies_Voie_4_SurchargeCPU</t>
  </si>
  <si>
    <t>Explication_Alarmes_Voies_Voie_4_CapteurDeDebit_Avertissement</t>
  </si>
  <si>
    <t>Explication_Alarmes_Voies_Voie_4_CapteurDeDebit_Defaut</t>
  </si>
  <si>
    <t>Explication_Alarmes_Voies_Voie_4_TempératureCameraCritiqueVoie1</t>
  </si>
  <si>
    <t>Explication_Alarmes_Voies_Voie_4_CapteurDebit_ComError</t>
  </si>
  <si>
    <t>Explication_Alarmes_Voies_Voie_4_DefautCuda</t>
  </si>
  <si>
    <t>Explication_Alarmes_Voies_Voie_4_DefautInitAppli</t>
  </si>
  <si>
    <t>Explication_Alarmes_Voies_Voie_4_CapteurDeDebit_AvertissementFemelle</t>
  </si>
  <si>
    <t>Explication_Alarmes_Voies_Voie_4_CapteurDeDebit_DefautFemelle</t>
  </si>
  <si>
    <t>Explication_Alarmes_Voies_Voie_5_BitDeVie</t>
  </si>
  <si>
    <t>Explication_Alarmes_Voies_Voie_5_PoussinCoinceEntreeVoie</t>
  </si>
  <si>
    <t>Explication_Alarmes_Voies_Voie_5_DefautAcquisition</t>
  </si>
  <si>
    <t>Explication_Alarmes_Voies_Voie_5_TemperatureCameraElevee</t>
  </si>
  <si>
    <t>Explication_Alarmes_Voies_Voie_5_DefautEclairage</t>
  </si>
  <si>
    <t>Explication_Alarmes_Voies_Voie_5_TropDePoussinsDifficilementSexable</t>
  </si>
  <si>
    <t>Explication_Alarmes_Voies_Voie_5_TropDePoussinsColles</t>
  </si>
  <si>
    <t>Explication_Alarmes_Voies_Voie_5_SurchargeHDD</t>
  </si>
  <si>
    <t>Explication_Alarmes_Voies_Voie_5_SurchargeRAM</t>
  </si>
  <si>
    <t>Explication_Alarmes_Voies_Voie_5_SurchargeCPU</t>
  </si>
  <si>
    <t>Explication_Alarmes_Voies_Voie_5_CapteurDeDebit_Avertissement</t>
  </si>
  <si>
    <t>Explication_Alarmes_Voies_Voie_5_CapteurDeDebit_Defaut</t>
  </si>
  <si>
    <t>Explication_Alarmes_Voies_Voie_5_TempératureCameraCritiqueVoie1</t>
  </si>
  <si>
    <t>Explication_Alarmes_Voies_Voie_5_CapteurDebit_ComError</t>
  </si>
  <si>
    <t>Explication_Alarmes_Voies_Voie_5_DefautCuda</t>
  </si>
  <si>
    <t>Explication_Alarmes_Voies_Voie_5_DefautInitAppli</t>
  </si>
  <si>
    <t>Explication_Alarmes_Voies_Voie_5_CapteurDeDebit_AvertissementFemelle</t>
  </si>
  <si>
    <t>Explication_Alarmes_Voies_Voie_5_CapteurDeDebit_DefautFemelle</t>
  </si>
  <si>
    <t>Explication_Alarmes_Voies_Voie_6_BitDeVie</t>
  </si>
  <si>
    <t>Explication_Alarmes_Voies_Voie_6_PoussinCoinceEntreeVoie</t>
  </si>
  <si>
    <t>Explication_Alarmes_Voies_Voie_6_DefautAcquisition</t>
  </si>
  <si>
    <t>Explication_Alarmes_Voies_Voie_6_TemperatureCameraElevee</t>
  </si>
  <si>
    <t>Explication_Alarmes_Voies_Voie_6_DefautEclairage</t>
  </si>
  <si>
    <t>Explication_Alarmes_Voies_Voie_6_TropDePoussinsDifficilementSexable</t>
  </si>
  <si>
    <t>Explication_Alarmes_Voies_Voie_6_TropDePoussinsColles</t>
  </si>
  <si>
    <t>Explication_Alarmes_Voies_Voie_6_SurchargeHDD</t>
  </si>
  <si>
    <t>Explication_Alarmes_Voies_Voie_6_SurchargeRAM</t>
  </si>
  <si>
    <t>Explication_Alarmes_Voies_Voie_6_SurchargeCPU</t>
  </si>
  <si>
    <t>Explication_Alarmes_Voies_Voie_6_CapteurDeDebit_Avertissement</t>
  </si>
  <si>
    <t>Explication_Alarmes_Voies_Voie_6_CapteurDeDebit_Defaut</t>
  </si>
  <si>
    <t>Explication_Alarmes_Voies_Voie_6_TempératureCameraCritiqueVoie1</t>
  </si>
  <si>
    <t>Explication_Alarmes_Voies_Voie_6_CapteurDebit_ComError</t>
  </si>
  <si>
    <t>Explication_Alarmes_Voies_Voie_6_DefautCuda</t>
  </si>
  <si>
    <t>Explication_Alarmes_Voies_Voie_6_DefautInitAppli</t>
  </si>
  <si>
    <t>Explication_Alarmes_Voies_Voie_6_CapteurDeDebit_AvertissementFemelle</t>
  </si>
  <si>
    <t>Explication_Alarmes_Voies_Voie_6_CapteurDeDebit_DefautFemelle</t>
  </si>
  <si>
    <t>Cause_Alarmes_Communes_ArretUrgence</t>
  </si>
  <si>
    <t>- Au moins un bouton d'arrêt d'urgence a été enclenché
- Si la machine vient d'être allumée, le défaut peut apparaître même si aucun bouton d'arrêt d'urgence n'a été enclenché</t>
  </si>
  <si>
    <t>Cause_Alarmes_Communes_DisjoncteurElectronique</t>
  </si>
  <si>
    <t>- Mauvais réglage de l'intensité de la voie (le voyant passe en orange, puis en rouge)
- Court-circuit sur la voie (le voyant passe directement en rouge)</t>
  </si>
  <si>
    <t>Cause_Alarmes_Communes_OnduleurSurBatterie</t>
  </si>
  <si>
    <t>Coupure de l'alimentation électrique de la machine (volontaire ou non)</t>
  </si>
  <si>
    <t>Cause_Alarmes_Communes_Parafoudre</t>
  </si>
  <si>
    <t>Surtension soudaine et importante sur l'alimentation générale de la machine.</t>
  </si>
  <si>
    <t>Cause_Alarmes_Communes_PressionAir</t>
  </si>
  <si>
    <t>- Il  n'y a pas d'air sur la machine (attention, le pressostat est situé en aval de la vanne de coupure générale), ou pas suffisamment
- Le capteur de pression d'air est défectueux ou non alimenté</t>
  </si>
  <si>
    <t>Cause_Alarmes_Communes_PasDePremierDemarrageValid</t>
  </si>
  <si>
    <t>L'automate a perdu ses données</t>
  </si>
  <si>
    <t>Cause_Alarmes_Communes_DetecttionPendantStressTest</t>
  </si>
  <si>
    <t>Quelque chose est passé devant un capteur pendant le mode stress test</t>
  </si>
  <si>
    <t>Cause_Alarmes_Ethercat_Com_Noeud1</t>
  </si>
  <si>
    <t>- Une mauvaise connexion d'un câble Ethercat
- L'esclave Ethercat n'est pas alimenté
- Défaut du port Ethercat de l'automate</t>
  </si>
  <si>
    <t>Cause_Alarmes_Ethercat_Com_Noeud2</t>
  </si>
  <si>
    <t>Cause_Alarmes_Ethercat_Com_Noeud30</t>
  </si>
  <si>
    <t>Cause_Alarmes_Ethercat_Com_Noeud31</t>
  </si>
  <si>
    <t>Cause_Alarmes_Ethercat_Com_Noeud32</t>
  </si>
  <si>
    <t>Cause_Alarmes_Ethercat_Com_Noeud33</t>
  </si>
  <si>
    <t>Cause_Alarmes_Ethercat_Com_Noeud34</t>
  </si>
  <si>
    <t>Cause_Alarmes_Ethercat_Com_Noeud35</t>
  </si>
  <si>
    <t>Cause_Alarmes_Ethercat_Com_Noeud36</t>
  </si>
  <si>
    <t>Cause_Alarmes_Ethercat_Com_Noeud50</t>
  </si>
  <si>
    <t>Cause_Alarmes_Ethercat_Nb_TentativeResetAuto</t>
  </si>
  <si>
    <t>Impossibilité de réarmer l'esclave Ethercat</t>
  </si>
  <si>
    <t>Cause_Alarmes_Ethercat_Com_Ethercat</t>
  </si>
  <si>
    <t>Cause_Alarmes_Ethercat_Com_Noeud51</t>
  </si>
  <si>
    <t>Cause_Alarmes_Ethercat_Com_Noeud60</t>
  </si>
  <si>
    <t>Cause_Alarmes_Ethercat_Com_Noeud61</t>
  </si>
  <si>
    <t>Cause_Alarmes_Ethercat_Com_Noeud62</t>
  </si>
  <si>
    <t>Cause_Alarmes_Ethercat_Com_Noeud63</t>
  </si>
  <si>
    <t>Cause_Alarmes_Ethercat_Com_Noeud20</t>
  </si>
  <si>
    <t>Cause_Alarmes_Ethercat_Com_Noeud52</t>
  </si>
  <si>
    <t>Cause_Alarmes_Ethercat_Com_Noeud53</t>
  </si>
  <si>
    <t>Cause_Alarmes_Carte_ES_CarteMod1</t>
  </si>
  <si>
    <t>- Mauvaise connexion de la carte sur le rack automate
- Problème d'alimentation de la carte
- Carte automate HS</t>
  </si>
  <si>
    <t>Cause_Alarmes_Carte_ES_CarteMod2</t>
  </si>
  <si>
    <t>Cause_Alarmes_Carte_ES_CarteMod3</t>
  </si>
  <si>
    <t>Cause_Alarmes_Carte_ES_CarteMod4</t>
  </si>
  <si>
    <t>Cause_Alarmes_Carte_ES_CarteMod5</t>
  </si>
  <si>
    <t>Cause_Alarmes_Carte_ES_CarteMod6</t>
  </si>
  <si>
    <t>Cause_Alarmes_Carte_ES_CarteMod7</t>
  </si>
  <si>
    <t>Cause_Alarmes_Carte_ES_CarteMod8</t>
  </si>
  <si>
    <t>Cause_Alarmes_Carte_ES_CarteMod9</t>
  </si>
  <si>
    <t>Cause_Alarmes_Carte_ES_CarteMod10</t>
  </si>
  <si>
    <t>Cause_Alarmes_Carte_ES_CarteMod11</t>
  </si>
  <si>
    <t>Cause_Alarmes_Programme_IntConvoyeurLigneDeTri</t>
  </si>
  <si>
    <t>- Connexion électrique du moteur
- Les entrées sécurisées du variateur ne sont pas actives</t>
  </si>
  <si>
    <t>Cause_Alarmes_Programme_ConvoyeurLigneDeTri</t>
  </si>
  <si>
    <t>Dépend du code d'erreur affiché</t>
  </si>
  <si>
    <t>Cause_Alarmes_Programme_IntConvoyeurSeparateur</t>
  </si>
  <si>
    <t>Cause_Alarmes_Programme_ConvoyeurSeparateur</t>
  </si>
  <si>
    <t>Cause_Alarmes_Programme_IntConvoyeurAccelerateur</t>
  </si>
  <si>
    <t>Cause_Alarmes_Programme_ConvoyeurAccelerateur</t>
  </si>
  <si>
    <t>Cause_Alarmes_Programme_IntOscillationConvoyeurAccelerateur</t>
  </si>
  <si>
    <t>Cause_Alarmes_Programme_OscillationConvoyeurAccelerateur</t>
  </si>
  <si>
    <t>Cause_Alarmes_Programme_IntConvoyeurAcquisition</t>
  </si>
  <si>
    <t>Cause_Alarmes_Programme_ConvoyeurAcquisition</t>
  </si>
  <si>
    <t>Cause_Alarmes_Programme_IntOscillationConvoyeurAcquisition</t>
  </si>
  <si>
    <t>Cause_Alarmes_Programme_OscillationConvoyeurAcquisition</t>
  </si>
  <si>
    <t>Cause_Alarmes_Programme_IntConvoyeurSortie</t>
  </si>
  <si>
    <t>Cause_Alarmes_Programme_ConvoyeurSortie</t>
  </si>
  <si>
    <t>Cause_Alarmes_Programme_DisjElecQ121</t>
  </si>
  <si>
    <t>Cause_Alarmes_Programme_DisjElecQ221</t>
  </si>
  <si>
    <t>Cause_Alarmes_Programme_DisjElecQ321</t>
  </si>
  <si>
    <t>Cause_Alarmes_Programme_CapteurGoulotteAiguillage</t>
  </si>
  <si>
    <t>- Mauvais réglage du / des capteur(s)
- Goulotte mal positionnée
- Dysfonctionnement du / des capteur(s)</t>
  </si>
  <si>
    <t>Cause_Alarmes_Programme_CapteurOscillationAccelerateurModeConvoyeur</t>
  </si>
  <si>
    <t>- Mauvais réglage du drapeau de détection
- Capteur mal réglé
- Dysfonctionnement du capteur</t>
  </si>
  <si>
    <t>Cause_Alarmes_Programme_CapteurOscillationAccelerateurModeSexage</t>
  </si>
  <si>
    <t>Cause_Alarmes_Programme_CapteurOscillationAcquisitionModeConvoyeur</t>
  </si>
  <si>
    <t>Cause_Alarmes_Programme_CapteurOscillationAcquisitionModeSexage</t>
  </si>
  <si>
    <t>Cause_Alarmes_Programme_TemperatureArmoireElevee</t>
  </si>
  <si>
    <t>Mauvaise ventilation de l'armoire</t>
  </si>
  <si>
    <t>Cause_Alarmes_Programme_TemperatureArmoireComErreur</t>
  </si>
  <si>
    <t>- Capteur défectueux
- Câble défectueux</t>
  </si>
  <si>
    <t>Cause_Alarmes_Programme_TemperatureB10Elevee</t>
  </si>
  <si>
    <t>Mauvais refroidissement de l'armoire</t>
  </si>
  <si>
    <t>Cause_Alarmes_Programme_TemperatureB10ComErreur</t>
  </si>
  <si>
    <t>Cause_Alarmes_Programme_PressionAirComErreur</t>
  </si>
  <si>
    <t>Cause_Alarmes_Programme_IntConvVersCompteuse</t>
  </si>
  <si>
    <t>Cause_Alarmes_Programme_ConvVersCompteuse</t>
  </si>
  <si>
    <t>Cause_Alarmes_Programme_ThermiqueConvSeparateur</t>
  </si>
  <si>
    <t>- Blocage mécanique
- Mauvais contact au niveau de l'information remontée à l'automate</t>
  </si>
  <si>
    <t>Cause_Alarmes_Programme_ThermiqueConvAccelerateur</t>
  </si>
  <si>
    <t>Cause_Alarmes_Programme_ThermiqueConvAcquisition</t>
  </si>
  <si>
    <t>Cause_Alarmes_Programme_IntConvElevateurSortie</t>
  </si>
  <si>
    <t>Cause_Alarmes_Programme_ConvElevateurSortie</t>
  </si>
  <si>
    <t>Cause_Alarmes_Programme_IntConvElevateur2</t>
  </si>
  <si>
    <t>Cause_Alarmes_Programme_ConvElevateur2</t>
  </si>
  <si>
    <t>Cause_Alarmes_Programme_IntOscillationConvoyeurSeparateur</t>
  </si>
  <si>
    <t>Cause_Alarmes_Programme_OscillationConvoyeurSeparateur</t>
  </si>
  <si>
    <t>Cause_Alarmes_Programme_CapteurOscillationSeparateurModeConvoyeur</t>
  </si>
  <si>
    <t>- Mauvais réglage du drapeau de détection
- Capteur mal réglé - Dysfonctionnement du capteur</t>
  </si>
  <si>
    <t>Cause_Alarmes_Programme_CapteurOscillationSeparateurModeSexage</t>
  </si>
  <si>
    <t>Cause_Alarmes_Programme_IntConvEntreSortieEtElevateur</t>
  </si>
  <si>
    <t>Cause_Alarmes_Programme_ConvEntreSortieEtElevateur</t>
  </si>
  <si>
    <t>Cause_Alarmes_Programme_IntConvEntreeLigneDeTri</t>
  </si>
  <si>
    <t>Cause_Alarmes_Programme_ConvEntreeLigneDeTri</t>
  </si>
  <si>
    <t>Cause_Alarmes_Programme_IntConvEntreeBypass</t>
  </si>
  <si>
    <t>Cause_Alarmes_Programme_ConvEntreeBypass</t>
  </si>
  <si>
    <t>Cause_Alarmes_Programme_IntConvEntreeVersCompteuse</t>
  </si>
  <si>
    <t>Cause_Alarmes_Programme_ConvEntreeVersCompteuse</t>
  </si>
  <si>
    <t>Cause_Alarmes_Programme_Porte1Ouverte</t>
  </si>
  <si>
    <t>- La porte indiquée est ouverte
- Le capteur est mal réglé - Le capteur est défectueux</t>
  </si>
  <si>
    <t>Cause_Alarmes_Programme_Porte2Ouverte</t>
  </si>
  <si>
    <t>Cause_Alarmes_Programme_Porte3Ouverte</t>
  </si>
  <si>
    <t>Cause_Alarmes_Programme_Porte4Ouverte</t>
  </si>
  <si>
    <t>Cause_Alarmes_Programme_Porte5Ouverte</t>
  </si>
  <si>
    <t>Cause_Alarmes_Programme_Porte6Ouverte</t>
  </si>
  <si>
    <t>Cause_Alarmes_Programme_EchangeurThermiqueDefaut1</t>
  </si>
  <si>
    <t>Dépend du code d'erreur affiché sur l'échangeur thermique</t>
  </si>
  <si>
    <t>Cause_Alarmes_Programme_EchangeurThermiqueDefaut2</t>
  </si>
  <si>
    <t>- Environnement défavorable (chaleur trop élevée dans la pièce)
- Echangeur défectueux qui ne refroidit pas assez l'armoire</t>
  </si>
  <si>
    <t>Cause_Alarmes_Programme_GroupeFroidDefaut1</t>
  </si>
  <si>
    <t>Cause_Alarmes_Programme_GroupeFroidDefaut2</t>
  </si>
  <si>
    <t>Cause_Alarmes_Programme_DiscordanceSEC02</t>
  </si>
  <si>
    <t>Une porte ou le système d'aiguillage ne sont pas correctement fermés</t>
  </si>
  <si>
    <t>Cause_Alarmes_Programme_IntConv2VersCompteuse</t>
  </si>
  <si>
    <t>Cause_Alarmes_Programme_Conv2VersCompteuse</t>
  </si>
  <si>
    <t>Cause_Alarmes_Programme_RempUrgentFiltre1</t>
  </si>
  <si>
    <t>Filtre usé / colmaté</t>
  </si>
  <si>
    <t>Cause_Alarmes_Programme_RempUrgentFiltre2</t>
  </si>
  <si>
    <t>Cause_Alarmes_Programme_RempUrgentFiltre3</t>
  </si>
  <si>
    <t>Cause_Alarmes_Voies_Voie_1_BitDeVie</t>
  </si>
  <si>
    <t>- Le PC est en défaut : freeze, écran bleu, pas d'alimentation, etc…
- Liaison Ethernet PC / PLC défaillante</t>
  </si>
  <si>
    <t>Cause_Alarmes_Voies_Voie_1_PoussinCoinceEntreeVoie</t>
  </si>
  <si>
    <t>Un poussin est passé sous la bande du convoyeur ou est coincé sous une rive et provoque des tas de poussins.</t>
  </si>
  <si>
    <t>Cause_Alarmes_Voies_Voie_1_DefautAcquisition</t>
  </si>
  <si>
    <t>- Perte de communication avec la caméra
- Caméra ou câble défectueux</t>
  </si>
  <si>
    <t>Cause_Alarmes_Voies_Voie_1_TemperatureCameraElevee</t>
  </si>
  <si>
    <t>- Environnement trop chaud
- Mauvaise dissipation de la chaleur dans le caisson caméras</t>
  </si>
  <si>
    <t>Cause_Alarmes_Voies_Voie_1_DefautEclairage</t>
  </si>
  <si>
    <t>- Mauvaise valeur sur le temps d'exposition des caméras.
- Problème de calibration sur les caméras.
- Salissure sur les caméras.
- Problème d'éclairage sur les barres de LED.
- Forte réflexion de lumière sur les rives.</t>
  </si>
  <si>
    <t>Cause_Alarmes_Voies_Voie_1_TropDePoussinsDifficilementSexable</t>
  </si>
  <si>
    <t>- Poussins issus de parquet trop jeunes (&lt;30 semaines, c'est un problème connu)
- Problème optique ou des salissures sur les caméras.
- Les poussins n'ouvrent pas assez les ailes à cause d'un dysfonctionnement sur les systèmes d'oscillation
- Les poussins sont trop collés (cadence trop élevée ou mauvais répartition entre les voies)</t>
  </si>
  <si>
    <t>Cause_Alarmes_Voies_Voie_1_TropDePoussinsColles</t>
  </si>
  <si>
    <t>- Poussins coincés
- Cadence trop élevée
- Mauvaise séparation sur la table de tri
- Problème sur les convoyeurs de séparation.</t>
  </si>
  <si>
    <t>Cause_Alarmes_Voies_Voie_1_SurchargeHDD</t>
  </si>
  <si>
    <t>- Tests en cours avec la sauvegarde des images activée.
- Quelqu'un a oublié de désactiver la sauvegarde des images dans le fichier de configuration</t>
  </si>
  <si>
    <t>Cause_Alarmes_Voies_Voie_1_SurchargeRAM</t>
  </si>
  <si>
    <t>- Tests en cours avec la sauvegarde des images activée.
- Quelqu'un a cliqué dans la console de l'application (= freeze de l'application)
- Quelqu'un a oublié de désactiver la sauvegarde des images dans le fichier de configuration</t>
  </si>
  <si>
    <t>Cause_Alarmes_Voies_Voie_1_SurchargeCPU</t>
  </si>
  <si>
    <t>Quelque chose occupe les ressources du PC (OS, driver, programme, etc…)</t>
  </si>
  <si>
    <t>Cause_Alarmes_Voies_Voie_1_CapteurDeDebit_Avertissement</t>
  </si>
  <si>
    <t>- Niveau d'air trop faible ou trop élevé
- Electrovanne bouchée ou colmatée
- Tuyau endommagé (plié, bouché, percé, etc…)</t>
  </si>
  <si>
    <t>Cause_Alarmes_Voies_Voie_1_CapteurDeDebit_Defaut</t>
  </si>
  <si>
    <t>Cause_Alarmes_Voies_Voie_1_TempératureCameraCritiqueVoie1</t>
  </si>
  <si>
    <t>Cause_Alarmes_Voies_Voie_1_CapteurDebit_ComError</t>
  </si>
  <si>
    <t>Cause_Alarmes_Voies_Voie_1_DefautCuda</t>
  </si>
  <si>
    <t>- Problème matériel
- Problème logiciel</t>
  </si>
  <si>
    <t>Cause_Alarmes_Voies_Voie_1_DefautInitAppli</t>
  </si>
  <si>
    <t>L'application a du mal à initialiser un de ses modules : carte PCI, caméras, carte graphique, etc…</t>
  </si>
  <si>
    <t>Cause_Alarmes_Voies_Voie_1_CapteurDeDebit_AvertissementFemelle</t>
  </si>
  <si>
    <t>Cause_Alarmes_Voies_Voie_1_CapteurDeDebit_DefautFemelle</t>
  </si>
  <si>
    <t>Cause_Alarmes_Voies_Voie_2_BitDeVie</t>
  </si>
  <si>
    <t>Cause_Alarmes_Voies_Voie_2_PoussinCoinceEntreeVoie</t>
  </si>
  <si>
    <t>Cause_Alarmes_Voies_Voie_2_DefautAcquisition</t>
  </si>
  <si>
    <t>Cause_Alarmes_Voies_Voie_2_TemperatureCameraElevee</t>
  </si>
  <si>
    <t>Cause_Alarmes_Voies_Voie_2_DefautEclairage</t>
  </si>
  <si>
    <t>Cause_Alarmes_Voies_Voie_2_TropDePoussinsDifficilementSexable</t>
  </si>
  <si>
    <t>Cause_Alarmes_Voies_Voie_2_TropDePoussinsColles</t>
  </si>
  <si>
    <t>Cause_Alarmes_Voies_Voie_2_SurchargeHDD</t>
  </si>
  <si>
    <t>Cause_Alarmes_Voies_Voie_2_SurchargeRAM</t>
  </si>
  <si>
    <t>Cause_Alarmes_Voies_Voie_2_SurchargeCPU</t>
  </si>
  <si>
    <t>Cause_Alarmes_Voies_Voie_2_CapteurDeDebit_Avertissement</t>
  </si>
  <si>
    <t>Cause_Alarmes_Voies_Voie_2_CapteurDeDebit_Defaut</t>
  </si>
  <si>
    <t>Cause_Alarmes_Voies_Voie_2_TempératureCameraCritiqueVoie1</t>
  </si>
  <si>
    <t>Cause_Alarmes_Voies_Voie_2_CapteurDebit_ComError</t>
  </si>
  <si>
    <t>Cause_Alarmes_Voies_Voie_2_DefautCuda</t>
  </si>
  <si>
    <t>Cause_Alarmes_Voies_Voie_2_DefautInitAppli</t>
  </si>
  <si>
    <t>Cause_Alarmes_Voies_Voie_2_CapteurDeDebit_AvertissementFemelle</t>
  </si>
  <si>
    <t>Cause_Alarmes_Voies_Voie_2_CapteurDeDebit_DefautFemelle</t>
  </si>
  <si>
    <t>Cause_Alarmes_Voies_Voie_3_BitDeVie</t>
  </si>
  <si>
    <t>Cause_Alarmes_Voies_Voie_3_PoussinCoinceEntreeVoie</t>
  </si>
  <si>
    <t>Cause_Alarmes_Voies_Voie_3_DefautAcquisition</t>
  </si>
  <si>
    <t>Cause_Alarmes_Voies_Voie_3_TemperatureCameraElevee</t>
  </si>
  <si>
    <t>Cause_Alarmes_Voies_Voie_3_DefautEclairage</t>
  </si>
  <si>
    <t>Cause_Alarmes_Voies_Voie_3_TropDePoussinsDifficilementSexable</t>
  </si>
  <si>
    <t>Cause_Alarmes_Voies_Voie_3_TropDePoussinsColles</t>
  </si>
  <si>
    <t>Cause_Alarmes_Voies_Voie_3_SurchargeHDD</t>
  </si>
  <si>
    <t>Cause_Alarmes_Voies_Voie_3_SurchargeRAM</t>
  </si>
  <si>
    <t>Cause_Alarmes_Voies_Voie_3_SurchargeCPU</t>
  </si>
  <si>
    <t>Cause_Alarmes_Voies_Voie_3_CapteurDeDebit_Avertissement</t>
  </si>
  <si>
    <t>Cause_Alarmes_Voies_Voie_3_CapteurDeDebit_Defaut</t>
  </si>
  <si>
    <t>Cause_Alarmes_Voies_Voie_3_TempératureCameraCritiqueVoie1</t>
  </si>
  <si>
    <t>Cause_Alarmes_Voies_Voie_3_CapteurDebit_ComError</t>
  </si>
  <si>
    <t>Cause_Alarmes_Voies_Voie_3_DefautCuda</t>
  </si>
  <si>
    <t>Cause_Alarmes_Voies_Voie_3_DefautInitAppli</t>
  </si>
  <si>
    <t>Cause_Alarmes_Voies_Voie_3_CapteurDeDebit_AvertissementFemelle</t>
  </si>
  <si>
    <t>Cause_Alarmes_Voies_Voie_3_CapteurDeDebit_DefautFemelle</t>
  </si>
  <si>
    <t>Cause_Alarmes_Voies_Voie_4_BitDeVie</t>
  </si>
  <si>
    <t>Cause_Alarmes_Voies_Voie_4_PoussinCoinceEntreeVoie</t>
  </si>
  <si>
    <t>Cause_Alarmes_Voies_Voie_4_DefautAcquisition</t>
  </si>
  <si>
    <t>Cause_Alarmes_Voies_Voie_4_TemperatureCameraElevee</t>
  </si>
  <si>
    <t>Cause_Alarmes_Voies_Voie_4_DefautEclairage</t>
  </si>
  <si>
    <t>Cause_Alarmes_Voies_Voie_4_TropDePoussinsDifficilementSexable</t>
  </si>
  <si>
    <t>Cause_Alarmes_Voies_Voie_4_TropDePoussinsColles</t>
  </si>
  <si>
    <t>Cause_Alarmes_Voies_Voie_4_SurchargeHDD</t>
  </si>
  <si>
    <t>Cause_Alarmes_Voies_Voie_4_SurchargeRAM</t>
  </si>
  <si>
    <t>Cause_Alarmes_Voies_Voie_4_SurchargeCPU</t>
  </si>
  <si>
    <t>Cause_Alarmes_Voies_Voie_4_CapteurDeDebit_Avertissement</t>
  </si>
  <si>
    <t>Cause_Alarmes_Voies_Voie_4_CapteurDeDebit_Defaut</t>
  </si>
  <si>
    <t>Cause_Alarmes_Voies_Voie_4_TempératureCameraCritiqueVoie1</t>
  </si>
  <si>
    <t>Cause_Alarmes_Voies_Voie_4_CapteurDebit_ComError</t>
  </si>
  <si>
    <t>Cause_Alarmes_Voies_Voie_4_DefautCuda</t>
  </si>
  <si>
    <t>Cause_Alarmes_Voies_Voie_4_DefautInitAppli</t>
  </si>
  <si>
    <t>Cause_Alarmes_Voies_Voie_4_CapteurDeDebit_AvertissementFemelle</t>
  </si>
  <si>
    <t>Cause_Alarmes_Voies_Voie_4_CapteurDeDebit_DefautFemelle</t>
  </si>
  <si>
    <t>Cause_Alarmes_Voies_Voie_5_BitDeVie</t>
  </si>
  <si>
    <t>Cause_Alarmes_Voies_Voie_5_PoussinCoinceEntreeVoie</t>
  </si>
  <si>
    <t>Cause_Alarmes_Voies_Voie_5_DefautAcquisition</t>
  </si>
  <si>
    <t>Cause_Alarmes_Voies_Voie_5_TemperatureCameraElevee</t>
  </si>
  <si>
    <t>Cause_Alarmes_Voies_Voie_5_DefautEclairage</t>
  </si>
  <si>
    <t>Cause_Alarmes_Voies_Voie_5_TropDePoussinsDifficilementSexable</t>
  </si>
  <si>
    <t>Cause_Alarmes_Voies_Voie_5_TropDePoussinsColles</t>
  </si>
  <si>
    <t>Cause_Alarmes_Voies_Voie_5_SurchargeHDD</t>
  </si>
  <si>
    <t>Cause_Alarmes_Voies_Voie_5_SurchargeRAM</t>
  </si>
  <si>
    <t>Cause_Alarmes_Voies_Voie_5_SurchargeCPU</t>
  </si>
  <si>
    <t>Cause_Alarmes_Voies_Voie_5_CapteurDeDebit_Avertissement</t>
  </si>
  <si>
    <t>Cause_Alarmes_Voies_Voie_5_CapteurDeDebit_Defaut</t>
  </si>
  <si>
    <t>Cause_Alarmes_Voies_Voie_5_TempératureCameraCritiqueVoie1</t>
  </si>
  <si>
    <t>Cause_Alarmes_Voies_Voie_5_CapteurDebit_ComError</t>
  </si>
  <si>
    <t>Cause_Alarmes_Voies_Voie_5_DefautCuda</t>
  </si>
  <si>
    <t>Cause_Alarmes_Voies_Voie_5_DefautInitAppli</t>
  </si>
  <si>
    <t>Cause_Alarmes_Voies_Voie_5_CapteurDeDebit_AvertissementFemelle</t>
  </si>
  <si>
    <t>Cause_Alarmes_Voies_Voie_5_CapteurDeDebit_DefautFemelle</t>
  </si>
  <si>
    <t>Cause_Alarmes_Voies_Voie_6_BitDeVie</t>
  </si>
  <si>
    <t>Cause_Alarmes_Voies_Voie_6_PoussinCoinceEntreeVoie</t>
  </si>
  <si>
    <t>Cause_Alarmes_Voies_Voie_6_DefautAcquisition</t>
  </si>
  <si>
    <t>Cause_Alarmes_Voies_Voie_6_TemperatureCameraElevee</t>
  </si>
  <si>
    <t>Cause_Alarmes_Voies_Voie_6_DefautEclairage</t>
  </si>
  <si>
    <t>Cause_Alarmes_Voies_Voie_6_TropDePoussinsDifficilementSexable</t>
  </si>
  <si>
    <t>Cause_Alarmes_Voies_Voie_6_TropDePoussinsColles</t>
  </si>
  <si>
    <t>Cause_Alarmes_Voies_Voie_6_SurchargeHDD</t>
  </si>
  <si>
    <t>Cause_Alarmes_Voies_Voie_6_SurchargeRAM</t>
  </si>
  <si>
    <t>Cause_Alarmes_Voies_Voie_6_SurchargeCPU</t>
  </si>
  <si>
    <t>Cause_Alarmes_Voies_Voie_6_CapteurDeDebit_Avertissement</t>
  </si>
  <si>
    <t>Cause_Alarmes_Voies_Voie_6_CapteurDeDebit_Defaut</t>
  </si>
  <si>
    <t>Cause_Alarmes_Voies_Voie_6_TempératureCameraCritiqueVoie1</t>
  </si>
  <si>
    <t>Cause_Alarmes_Voies_Voie_6_CapteurDebit_ComError</t>
  </si>
  <si>
    <t>Cause_Alarmes_Voies_Voie_6_DefautCuda</t>
  </si>
  <si>
    <t>Cause_Alarmes_Voies_Voie_6_DefautInitAppli</t>
  </si>
  <si>
    <t>Cause_Alarmes_Voies_Voie_6_CapteurDeDebit_AvertissementFemelle</t>
  </si>
  <si>
    <t>Cause_Alarmes_Voies_Voie_6_CapteurDeDebit_DefautFemelle</t>
  </si>
  <si>
    <t>Solution_Alarmes_Communes_ArretUrgence</t>
  </si>
  <si>
    <t>Vérifier que les arrêts d'urgence de la machine sont désenclenchés, que les portes sont fermées, et appuyer sur le bouton "reset"</t>
  </si>
  <si>
    <t>Solution_Alarmes_Communes_DisjoncteurElectronique</t>
  </si>
  <si>
    <t>- Ajuster la protection thermique de la voie à l'aide de la vis proche du voyant
- Eliminer le court-circuit puis appuyer sur le voyant du disjoncteur électronique pour réarmer la voie</t>
  </si>
  <si>
    <t>Solution_Alarmes_Communes_OnduleurSurBatterie</t>
  </si>
  <si>
    <t>- Si le passage de l'onduleur sur batterie n'est pas normal ou n'est pas attendu, vérifier l'alimentation électrique de la machine jusqu’à l'onduleur.
- Sinon, ne pas tenir compte de l'alarme, la machine va s'éteindre toute seule en quelques minutes.</t>
  </si>
  <si>
    <t>Solution_Alarmes_Communes_Parafoudre</t>
  </si>
  <si>
    <t>Remplacer la cartouche défectueuse.</t>
  </si>
  <si>
    <t>Solution_Alarmes_Communes_PressionAir</t>
  </si>
  <si>
    <t>- Vérifier la présence d'air comprimé en entrée de machine et que celle-ci soit dans la plage de tolérance acceptée
- Si la valeur affichée à l'IHM est égale à 0 mais qu'il y a de l'air, vérifier que le capteur de pression est correctement alimenté électriquement. Si c'est le cas, remplacer-le.</t>
  </si>
  <si>
    <t>Solution_Alarmes_Communes_PasDePremierDemarrageValid</t>
  </si>
  <si>
    <t>Contacter Ecat-iD</t>
  </si>
  <si>
    <t>Solution_Alarmes_Communes_DetecttionPendantStressTest</t>
  </si>
  <si>
    <t>Vérifier les capteurs</t>
  </si>
  <si>
    <t>Solution_Alarmes_Ethercat_Com_Noeud1</t>
  </si>
  <si>
    <t>- Vérifier l'état de l'esclave Ethercat en question à l'aide de la page de visualisation depuis l'IHM.
- Si aucun défaut n'apparait sur l'esclave Ethercat, contacter ECATID</t>
  </si>
  <si>
    <t>Solution_Alarmes_Ethercat_Com_Noeud2</t>
  </si>
  <si>
    <t>Solution_Alarmes_Ethercat_Com_Noeud30</t>
  </si>
  <si>
    <t>Solution_Alarmes_Ethercat_Com_Noeud31</t>
  </si>
  <si>
    <t>Solution_Alarmes_Ethercat_Com_Noeud32</t>
  </si>
  <si>
    <t>Solution_Alarmes_Ethercat_Com_Noeud33</t>
  </si>
  <si>
    <t>Solution_Alarmes_Ethercat_Com_Noeud34</t>
  </si>
  <si>
    <t>Solution_Alarmes_Ethercat_Com_Noeud35</t>
  </si>
  <si>
    <t>Solution_Alarmes_Ethercat_Com_Noeud36</t>
  </si>
  <si>
    <t>Solution_Alarmes_Ethercat_Com_Noeud50</t>
  </si>
  <si>
    <t>Solution_Alarmes_Ethercat_Nb_TentativeResetAuto</t>
  </si>
  <si>
    <t>- Vérifier l'état des esclaves Ethercat
- Si aucun défaut n'apparait sur aucun esclave Ethercat, contacter Ecat-iD</t>
  </si>
  <si>
    <t>Solution_Alarmes_Ethercat_Com_Ethercat</t>
  </si>
  <si>
    <t>- Vérifier la bonne connexion des câbles du réseau Ethercat en suivant le schéma électrique
- Vérifier la bonne alimentation des différents esclaves sur le réseau Ethercat - Si aucun défaut n'apparait sur aucun esclave Ethercat, contacter Ecat-iD</t>
  </si>
  <si>
    <t>Solution_Alarmes_Ethercat_Com_Noeud51</t>
  </si>
  <si>
    <t>Solution_Alarmes_Ethercat_Com_Noeud60</t>
  </si>
  <si>
    <t>Solution_Alarmes_Ethercat_Com_Noeud61</t>
  </si>
  <si>
    <t>Solution_Alarmes_Ethercat_Com_Noeud62</t>
  </si>
  <si>
    <t>Solution_Alarmes_Ethercat_Com_Noeud63</t>
  </si>
  <si>
    <t>Solution_Alarmes_Ethercat_Com_Noeud20</t>
  </si>
  <si>
    <t>Solution_Alarmes_Ethercat_Com_Noeud52</t>
  </si>
  <si>
    <t>Solution_Alarmes_Ethercat_Com_Noeud53</t>
  </si>
  <si>
    <t>Solution_Alarmes_Carte_ES_CarteMod1</t>
  </si>
  <si>
    <t>- Vérifier la connexion de la carte
- Vérifier que la carte est bien alimentée - Remplacer la carte</t>
  </si>
  <si>
    <t>Solution_Alarmes_Carte_ES_CarteMod2</t>
  </si>
  <si>
    <t>Solution_Alarmes_Carte_ES_CarteMod3</t>
  </si>
  <si>
    <t>Solution_Alarmes_Carte_ES_CarteMod4</t>
  </si>
  <si>
    <t>Solution_Alarmes_Carte_ES_CarteMod5</t>
  </si>
  <si>
    <t>Solution_Alarmes_Carte_ES_CarteMod6</t>
  </si>
  <si>
    <t>Solution_Alarmes_Carte_ES_CarteMod7</t>
  </si>
  <si>
    <t>Solution_Alarmes_Carte_ES_CarteMod8</t>
  </si>
  <si>
    <t>Solution_Alarmes_Carte_ES_CarteMod9</t>
  </si>
  <si>
    <t>Solution_Alarmes_Carte_ES_CarteMod10</t>
  </si>
  <si>
    <t>Solution_Alarmes_Carte_ES_CarteMod11</t>
  </si>
  <si>
    <t>Solution_Alarmes_Programme_IntConvoyeurLigneDeTri</t>
  </si>
  <si>
    <t>- Vérifier la connexion électrique du moteur
- Vérifier les entrées sécurisées du variateur</t>
  </si>
  <si>
    <t>Solution_Alarmes_Programme_ConvoyeurLigneDeTri</t>
  </si>
  <si>
    <t>Un pdf est accessible en cliquant sur le bouton "information défaut" sur la page visualisation du variateur. Ce pdf détaille les codes d'erreur.</t>
  </si>
  <si>
    <t>Solution_Alarmes_Programme_IntConvoyeurSeparateur</t>
  </si>
  <si>
    <t>Solution_Alarmes_Programme_ConvoyeurSeparateur</t>
  </si>
  <si>
    <t>Solution_Alarmes_Programme_IntConvoyeurAccelerateur</t>
  </si>
  <si>
    <t>Solution_Alarmes_Programme_ConvoyeurAccelerateur</t>
  </si>
  <si>
    <t>Solution_Alarmes_Programme_IntOscillationConvoyeurAccelerateur</t>
  </si>
  <si>
    <t>Solution_Alarmes_Programme_OscillationConvoyeurAccelerateur</t>
  </si>
  <si>
    <t>Solution_Alarmes_Programme_IntConvoyeurAcquisition</t>
  </si>
  <si>
    <t>Solution_Alarmes_Programme_ConvoyeurAcquisition</t>
  </si>
  <si>
    <t>Solution_Alarmes_Programme_IntOscillationConvoyeurAcquisition</t>
  </si>
  <si>
    <t>Solution_Alarmes_Programme_OscillationConvoyeurAcquisition</t>
  </si>
  <si>
    <t>Solution_Alarmes_Programme_IntConvoyeurSortie</t>
  </si>
  <si>
    <t>Solution_Alarmes_Programme_ConvoyeurSortie</t>
  </si>
  <si>
    <t>Solution_Alarmes_Programme_DisjElecQ121</t>
  </si>
  <si>
    <t>Solution_Alarmes_Programme_DisjElecQ221</t>
  </si>
  <si>
    <t>Solution_Alarmes_Programme_DisjElecQ321</t>
  </si>
  <si>
    <t>Solution_Alarmes_Programme_CapteurGoulotteAiguillage</t>
  </si>
  <si>
    <t>- Vérifier le bon réglage du / des capteur(s)
- Vérifier la bonne position de la goulotte - Changer le(s) capteur(s) défectueux</t>
  </si>
  <si>
    <t>Solution_Alarmes_Programme_CapteurOscillationAccelerateurModeConvoyeur</t>
  </si>
  <si>
    <t>(- Vérifier le positionnement du drapeau de détection
- Vérifier le bon réglage du capteur - Changer le capteur s'il est défectueux</t>
  </si>
  <si>
    <t>Solution_Alarmes_Programme_CapteurOscillationAccelerateurModeSexage</t>
  </si>
  <si>
    <t>Solution_Alarmes_Programme_CapteurOscillationAcquisitionModeConvoyeur</t>
  </si>
  <si>
    <t>Solution_Alarmes_Programme_CapteurOscillationAcquisitionModeSexage</t>
  </si>
  <si>
    <t>Solution_Alarmes_Programme_TemperatureArmoireElevee</t>
  </si>
  <si>
    <t>- Vérifier le bon fonctionnement des ventilateurs
- Nettoyer et / ou changer les filtres si nécessaire</t>
  </si>
  <si>
    <t>Solution_Alarmes_Programme_TemperatureArmoireComErreur</t>
  </si>
  <si>
    <t>- Vérifier l'état du capteur et son câble et changer ce qui doit l'être
- Si le problème persiste, contacter Ecat-iD</t>
  </si>
  <si>
    <t>Solution_Alarmes_Programme_TemperatureB10Elevee</t>
  </si>
  <si>
    <t>Vérifier le bon fonctionnement du système de refroidissement de l'armoire</t>
  </si>
  <si>
    <t>Solution_Alarmes_Programme_TemperatureB10ComErreur</t>
  </si>
  <si>
    <t>Solution_Alarmes_Programme_PressionAirComErreur</t>
  </si>
  <si>
    <t>Solution_Alarmes_Programme_IntConvVersCompteuse</t>
  </si>
  <si>
    <t>Solution_Alarmes_Programme_ConvVersCompteuse</t>
  </si>
  <si>
    <t>Solution_Alarmes_Programme_ThermiqueConvSeparateur</t>
  </si>
  <si>
    <t>- Vérifier la mécanique
- Vérifier le câblage</t>
  </si>
  <si>
    <t>Solution_Alarmes_Programme_ThermiqueConvAccelerateur</t>
  </si>
  <si>
    <t>Solution_Alarmes_Programme_ThermiqueConvAcquisition</t>
  </si>
  <si>
    <t>Solution_Alarmes_Programme_IntConvElevateurSortie</t>
  </si>
  <si>
    <t>Solution_Alarmes_Programme_ConvElevateurSortie</t>
  </si>
  <si>
    <t>Solution_Alarmes_Programme_IntConvElevateur2</t>
  </si>
  <si>
    <t>Solution_Alarmes_Programme_ConvElevateur2</t>
  </si>
  <si>
    <t>Solution_Alarmes_Programme_IntOscillationConvoyeurSeparateur</t>
  </si>
  <si>
    <t>Solution_Alarmes_Programme_OscillationConvoyeurSeparateur</t>
  </si>
  <si>
    <t>Solution_Alarmes_Programme_CapteurOscillationSeparateurModeConvoyeur</t>
  </si>
  <si>
    <t>- Vérifier le positionnement du drapeau de détection
- Vérifier le bon réglage du capteur - Changer le capteur s'il est défectueux</t>
  </si>
  <si>
    <t>Solution_Alarmes_Programme_CapteurOscillationSeparateurModeSexage</t>
  </si>
  <si>
    <t>Solution_Alarmes_Programme_IntConvEntreSortieEtElevateur</t>
  </si>
  <si>
    <t>Solution_Alarmes_Programme_ConvEntreSortieEtElevateur</t>
  </si>
  <si>
    <t>Solution_Alarmes_Programme_IntConvEntreeLigneDeTri</t>
  </si>
  <si>
    <t>Solution_Alarmes_Programme_ConvEntreeLigneDeTri</t>
  </si>
  <si>
    <t>Solution_Alarmes_Programme_IntConvEntreeBypass</t>
  </si>
  <si>
    <t>Solution_Alarmes_Programme_ConvEntreeBypass</t>
  </si>
  <si>
    <t>Solution_Alarmes_Programme_IntConvEntreeVersCompteuse</t>
  </si>
  <si>
    <t>Solution_Alarmes_Programme_ConvEntreeVersCompteuse</t>
  </si>
  <si>
    <t>Solution_Alarmes_Programme_Porte1Ouverte</t>
  </si>
  <si>
    <t>- Vérifier que la porte indiquée est bien fermée
- Vérifier le bon alignement du capteur sur la porte avec la partie fixe sur la machine - Remplacer le capteur</t>
  </si>
  <si>
    <t>Solution_Alarmes_Programme_Porte2Ouverte</t>
  </si>
  <si>
    <t>Solution_Alarmes_Programme_Porte3Ouverte</t>
  </si>
  <si>
    <t>Solution_Alarmes_Programme_Porte4Ouverte</t>
  </si>
  <si>
    <t>Solution_Alarmes_Programme_Porte5Ouverte</t>
  </si>
  <si>
    <t>Solution_Alarmes_Programme_Porte6Ouverte</t>
  </si>
  <si>
    <t>Solution_Alarmes_Programme_EchangeurThermiqueDefaut1</t>
  </si>
  <si>
    <t>Se référer à la doc technique de l'échangeur thermique</t>
  </si>
  <si>
    <t>Solution_Alarmes_Programme_EchangeurThermiqueDefaut2</t>
  </si>
  <si>
    <t>- Inspecter l'échangeur thermique
- Si le problème persiste, contacter Ecat-iD</t>
  </si>
  <si>
    <t>Solution_Alarmes_Programme_GroupeFroidDefaut1</t>
  </si>
  <si>
    <t>Se référer à la doc technique du groupe froid</t>
  </si>
  <si>
    <t>Solution_Alarmes_Programme_GroupeFroidDefaut2</t>
  </si>
  <si>
    <t>Solution_Alarmes_Programme_DiscordanceSEC02</t>
  </si>
  <si>
    <t>Ouvrir toutes les portes, sortir le système d'aiguillage, fermer les portes une à une, rentrer le système d'aiguillage puis appuyer sur le bouton "reset"</t>
  </si>
  <si>
    <t>Solution_Alarmes_Programme_IntConv2VersCompteuse</t>
  </si>
  <si>
    <t>Solution_Alarmes_Programme_Conv2VersCompteuse</t>
  </si>
  <si>
    <t>Solution_Alarmes_Programme_RempUrgentFiltre1</t>
  </si>
  <si>
    <t>Changer le filtre</t>
  </si>
  <si>
    <t>Solution_Alarmes_Programme_RempUrgentFiltre2</t>
  </si>
  <si>
    <t>Solution_Alarmes_Programme_RempUrgentFiltre3</t>
  </si>
  <si>
    <t>Solution_Alarmes_Voies_Voie_1_BitDeVie</t>
  </si>
  <si>
    <t>- Eteindre et rallumer la machine
- Vérifier les connexions Ethernet
- Si le problème persiste, contacter Ecat-iD</t>
  </si>
  <si>
    <t>Solution_Alarmes_Voies_Voie_1_PoussinCoinceEntreeVoie</t>
  </si>
  <si>
    <t>S'il y a un / des poussin(s) coincé(s), retirer-les.</t>
  </si>
  <si>
    <t>Solution_Alarmes_Voies_Voie_1_DefautAcquisition</t>
  </si>
  <si>
    <t>- Débrancher puis rebrancher les câbles USB des caméras, puis appuyer sur le bouton "INITIALISATION" sur l'IHM
- Si le problème persiste, redémarrer la machine
- Si le problème persiste encore, contacter Ecat-iD</t>
  </si>
  <si>
    <t>Solution_Alarmes_Voies_Voie_1_TemperatureCameraElevee</t>
  </si>
  <si>
    <t>- Contrôler le caisson caméras
- Essayer d'arrêter la machine pendant quelques minutes
- Si le problème persiste, contacter Ecat-iD</t>
  </si>
  <si>
    <t>Solution_Alarmes_Voies_Voie_1_DefautEclairage</t>
  </si>
  <si>
    <t>- Vérifier que les éclairages ne soient pas sales
- Vérifier que les éclairages s'allument autant (ni plus, ni moins) que les autres voies qui fonctionnent
- Vérifier qu'il n'y ai pas trop de réflexion de la lumière sur les rives des convoyeurs
- Contrôler le temps d'exposition des caméras (Ecat-iD)
- Refaire une calibration des caméras (Ecat-iD)</t>
  </si>
  <si>
    <t>Solution_Alarmes_Voies_Voie_1_TropDePoussinsDifficilementSexable</t>
  </si>
  <si>
    <t>- Vérifier l'âge du parquet (normal si &lt; à 30 semaines)
- Contrôler les éclairages
- Contrôler les systèmes d'oscillation
- Faire attention à la répartition, la quantité, et le nombre de poussins sur la table de tri pour éviter d'avoir trop de poussins collés</t>
  </si>
  <si>
    <t>Solution_Alarmes_Voies_Voie_1_TropDePoussinsColles</t>
  </si>
  <si>
    <t>- Réduire la cadence
- Vérifier la bonne répartition sur la ligne de tri
- Vérifier le bon fonctionnement du convoyeur séparateur</t>
  </si>
  <si>
    <t>Solution_Alarmes_Voies_Voie_1_SurchargeHDD</t>
  </si>
  <si>
    <t>- Vérifier le fichier de config (Ecat-iD)
- Contacter Ecat-iD</t>
  </si>
  <si>
    <t>Solution_Alarmes_Voies_Voie_1_SurchargeRAM</t>
  </si>
  <si>
    <t>Solution_Alarmes_Voies_Voie_1_SurchargeCPU</t>
  </si>
  <si>
    <t>- Redémarrer le PC
- Si le problème persiste, contacter Ecat-iD</t>
  </si>
  <si>
    <t>Solution_Alarmes_Voies_Voie_1_CapteurDeDebit_Avertissement</t>
  </si>
  <si>
    <t>- Contrôler le niveau d'air
- Contrôler l'électrovanne
- Contrôler le tuyau d'air
- Changer l'électrovanne et / ou le tuyau si nécessaire</t>
  </si>
  <si>
    <t>Solution_Alarmes_Voies_Voie_1_CapteurDeDebit_Defaut</t>
  </si>
  <si>
    <t>Solution_Alarmes_Voies_Voie_1_TempératureCameraCritiqueVoie1</t>
  </si>
  <si>
    <t>Solution_Alarmes_Voies_Voie_1_CapteurDebit_ComError</t>
  </si>
  <si>
    <t>Solution_Alarmes_Voies_Voie_1_DefautCuda</t>
  </si>
  <si>
    <t>- Redémarrer la machine
- Si le problème persiste, contacter Ecat-iD</t>
  </si>
  <si>
    <t>Solution_Alarmes_Voies_Voie_1_DefautInitAppli</t>
  </si>
  <si>
    <t>Solution_Alarmes_Voies_Voie_1_CapteurDeDebit_AvertissementFemelle</t>
  </si>
  <si>
    <t>Solution_Alarmes_Voies_Voie_1_CapteurDeDebit_DefautFemelle</t>
  </si>
  <si>
    <t>Solution_Alarmes_Voies_Voie_2_BitDeVie</t>
  </si>
  <si>
    <t>Solution_Alarmes_Voies_Voie_2_PoussinCoinceEntreeVoie</t>
  </si>
  <si>
    <t>Solution_Alarmes_Voies_Voie_2_DefautAcquisition</t>
  </si>
  <si>
    <t>Solution_Alarmes_Voies_Voie_2_TemperatureCameraElevee</t>
  </si>
  <si>
    <t>Solution_Alarmes_Voies_Voie_2_DefautEclairage</t>
  </si>
  <si>
    <t>Solution_Alarmes_Voies_Voie_2_TropDePoussinsDifficilementSexable</t>
  </si>
  <si>
    <t>Solution_Alarmes_Voies_Voie_2_TropDePoussinsColles</t>
  </si>
  <si>
    <t>Solution_Alarmes_Voies_Voie_2_SurchargeHDD</t>
  </si>
  <si>
    <t>Solution_Alarmes_Voies_Voie_2_SurchargeRAM</t>
  </si>
  <si>
    <t>Solution_Alarmes_Voies_Voie_2_SurchargeCPU</t>
  </si>
  <si>
    <t>Solution_Alarmes_Voies_Voie_2_CapteurDeDebit_Avertissement</t>
  </si>
  <si>
    <t>Solution_Alarmes_Voies_Voie_2_CapteurDeDebit_Defaut</t>
  </si>
  <si>
    <t>Solution_Alarmes_Voies_Voie_2_TempératureCameraCritiqueVoie1</t>
  </si>
  <si>
    <t>Solution_Alarmes_Voies_Voie_2_CapteurDebit_ComError</t>
  </si>
  <si>
    <t>Solution_Alarmes_Voies_Voie_2_DefautCuda</t>
  </si>
  <si>
    <t>Solution_Alarmes_Voies_Voie_2_DefautInitAppli</t>
  </si>
  <si>
    <t>Solution_Alarmes_Voies_Voie_2_CapteurDeDebit_AvertissementFemelle</t>
  </si>
  <si>
    <t>Solution_Alarmes_Voies_Voie_2_CapteurDeDebit_DefautFemelle</t>
  </si>
  <si>
    <t>Solution_Alarmes_Voies_Voie_3_BitDeVie</t>
  </si>
  <si>
    <t>Solution_Alarmes_Voies_Voie_3_PoussinCoinceEntreeVoie</t>
  </si>
  <si>
    <t>Solution_Alarmes_Voies_Voie_3_DefautAcquisition</t>
  </si>
  <si>
    <t>Solution_Alarmes_Voies_Voie_3_TemperatureCameraElevee</t>
  </si>
  <si>
    <t>Solution_Alarmes_Voies_Voie_3_DefautEclairage</t>
  </si>
  <si>
    <t>Solution_Alarmes_Voies_Voie_3_TropDePoussinsDifficilementSexable</t>
  </si>
  <si>
    <t>Solution_Alarmes_Voies_Voie_3_TropDePoussinsColles</t>
  </si>
  <si>
    <t>Solution_Alarmes_Voies_Voie_3_SurchargeHDD</t>
  </si>
  <si>
    <t>Solution_Alarmes_Voies_Voie_3_SurchargeRAM</t>
  </si>
  <si>
    <t>Solution_Alarmes_Voies_Voie_3_SurchargeCPU</t>
  </si>
  <si>
    <t>Solution_Alarmes_Voies_Voie_3_CapteurDeDebit_Avertissement</t>
  </si>
  <si>
    <t>Solution_Alarmes_Voies_Voie_3_CapteurDeDebit_Defaut</t>
  </si>
  <si>
    <t>Solution_Alarmes_Voies_Voie_3_TempératureCameraCritiqueVoie1</t>
  </si>
  <si>
    <t>Solution_Alarmes_Voies_Voie_3_CapteurDebit_ComError</t>
  </si>
  <si>
    <t>Solution_Alarmes_Voies_Voie_3_DefautCuda</t>
  </si>
  <si>
    <t>Solution_Alarmes_Voies_Voie_3_DefautInitAppli</t>
  </si>
  <si>
    <t>Solution_Alarmes_Voies_Voie_3_CapteurDeDebit_AvertissementFemelle</t>
  </si>
  <si>
    <t>Solution_Alarmes_Voies_Voie_3_CapteurDeDebit_DefautFemelle</t>
  </si>
  <si>
    <t>Solution_Alarmes_Voies_Voie_4_BitDeVie</t>
  </si>
  <si>
    <t>Solution_Alarmes_Voies_Voie_4_PoussinCoinceEntreeVoie</t>
  </si>
  <si>
    <t>Solution_Alarmes_Voies_Voie_4_DefautAcquisition</t>
  </si>
  <si>
    <t>Solution_Alarmes_Voies_Voie_4_TemperatureCameraElevee</t>
  </si>
  <si>
    <t>Solution_Alarmes_Voies_Voie_4_DefautEclairage</t>
  </si>
  <si>
    <t>Solution_Alarmes_Voies_Voie_4_TropDePoussinsDifficilementSexable</t>
  </si>
  <si>
    <t>Solution_Alarmes_Voies_Voie_4_TropDePoussinsColles</t>
  </si>
  <si>
    <t>Solution_Alarmes_Voies_Voie_4_SurchargeHDD</t>
  </si>
  <si>
    <t>Solution_Alarmes_Voies_Voie_4_SurchargeRAM</t>
  </si>
  <si>
    <t>Solution_Alarmes_Voies_Voie_4_SurchargeCPU</t>
  </si>
  <si>
    <t>Solution_Alarmes_Voies_Voie_4_CapteurDeDebit_Avertissement</t>
  </si>
  <si>
    <t>Solution_Alarmes_Voies_Voie_4_CapteurDeDebit_Defaut</t>
  </si>
  <si>
    <t>Solution_Alarmes_Voies_Voie_4_TempératureCameraCritiqueVoie1</t>
  </si>
  <si>
    <t>Solution_Alarmes_Voies_Voie_4_CapteurDebit_ComError</t>
  </si>
  <si>
    <t>Solution_Alarmes_Voies_Voie_4_DefautCuda</t>
  </si>
  <si>
    <t>Solution_Alarmes_Voies_Voie_4_DefautInitAppli</t>
  </si>
  <si>
    <t>Solution_Alarmes_Voies_Voie_4_CapteurDeDebit_AvertissementFemelle</t>
  </si>
  <si>
    <t>Solution_Alarmes_Voies_Voie_4_CapteurDeDebit_DefautFemelle</t>
  </si>
  <si>
    <t>Solution_Alarmes_Voies_Voie_5_BitDeVie</t>
  </si>
  <si>
    <t>Solution_Alarmes_Voies_Voie_5_PoussinCoinceEntreeVoie</t>
  </si>
  <si>
    <t>Solution_Alarmes_Voies_Voie_5_DefautAcquisition</t>
  </si>
  <si>
    <t>Solution_Alarmes_Voies_Voie_5_TemperatureCameraElevee</t>
  </si>
  <si>
    <t>Solution_Alarmes_Voies_Voie_5_DefautEclairage</t>
  </si>
  <si>
    <t>Solution_Alarmes_Voies_Voie_5_TropDePoussinsDifficilementSexable</t>
  </si>
  <si>
    <t>Solution_Alarmes_Voies_Voie_5_TropDePoussinsColles</t>
  </si>
  <si>
    <t>Solution_Alarmes_Voies_Voie_5_SurchargeHDD</t>
  </si>
  <si>
    <t>Solution_Alarmes_Voies_Voie_5_SurchargeRAM</t>
  </si>
  <si>
    <t>Solution_Alarmes_Voies_Voie_5_SurchargeCPU</t>
  </si>
  <si>
    <t>Solution_Alarmes_Voies_Voie_5_CapteurDeDebit_Avertissement</t>
  </si>
  <si>
    <t>Solution_Alarmes_Voies_Voie_5_CapteurDeDebit_Defaut</t>
  </si>
  <si>
    <t>Solution_Alarmes_Voies_Voie_5_TempératureCameraCritiqueVoie1</t>
  </si>
  <si>
    <t>Solution_Alarmes_Voies_Voie_5_CapteurDebit_ComError</t>
  </si>
  <si>
    <t>Solution_Alarmes_Voies_Voie_5_DefautCuda</t>
  </si>
  <si>
    <t>Solution_Alarmes_Voies_Voie_5_DefautInitAppli</t>
  </si>
  <si>
    <t>Solution_Alarmes_Voies_Voie_5_CapteurDeDebit_AvertissementFemelle</t>
  </si>
  <si>
    <t>Solution_Alarmes_Voies_Voie_5_CapteurDeDebit_DefautFemelle</t>
  </si>
  <si>
    <t>Solution_Alarmes_Voies_Voie_6_BitDeVie</t>
  </si>
  <si>
    <t>Solution_Alarmes_Voies_Voie_6_PoussinCoinceEntreeVoie</t>
  </si>
  <si>
    <t>Solution_Alarmes_Voies_Voie_6_DefautAcquisition</t>
  </si>
  <si>
    <t>Solution_Alarmes_Voies_Voie_6_TemperatureCameraElevee</t>
  </si>
  <si>
    <t>Solution_Alarmes_Voies_Voie_6_DefautEclairage</t>
  </si>
  <si>
    <t>Solution_Alarmes_Voies_Voie_6_TropDePoussinsDifficilementSexable</t>
  </si>
  <si>
    <t>Solution_Alarmes_Voies_Voie_6_TropDePoussinsColles</t>
  </si>
  <si>
    <t>Solution_Alarmes_Voies_Voie_6_SurchargeHDD</t>
  </si>
  <si>
    <t>Solution_Alarmes_Voies_Voie_6_SurchargeRAM</t>
  </si>
  <si>
    <t>Solution_Alarmes_Voies_Voie_6_SurchargeCPU</t>
  </si>
  <si>
    <t>Solution_Alarmes_Voies_Voie_6_CapteurDeDebit_Avertissement</t>
  </si>
  <si>
    <t>Solution_Alarmes_Voies_Voie_6_CapteurDeDebit_Defaut</t>
  </si>
  <si>
    <t>Solution_Alarmes_Voies_Voie_6_TempératureCameraCritiqueVoie1</t>
  </si>
  <si>
    <t>Solution_Alarmes_Voies_Voie_6_CapteurDebit_ComError</t>
  </si>
  <si>
    <t>Solution_Alarmes_Voies_Voie_6_DefautCuda</t>
  </si>
  <si>
    <t>Solution_Alarmes_Voies_Voie_6_DefautInitAppli</t>
  </si>
  <si>
    <t>Solution_Alarmes_Voies_Voie_6_CapteurDeDebit_AvertissementFemelle</t>
  </si>
  <si>
    <t>Solution_Alarmes_Voies_Voie_6_CapteurDeDebit_DefautFemelle</t>
  </si>
  <si>
    <t>Résolution</t>
  </si>
  <si>
    <t xml:space="preserve"> - Capteur mal aligné, mal réglé ou défectueux.
 - Problème de câblage ou de connecteur empêchant une bonne détection.</t>
  </si>
  <si>
    <t xml:space="preserve"> Vérifier le fonctionnement du capteur via ses voyants.
Contrôler l’alignement, le réglage ainsi que l’état du câblage et des connecteurs.</t>
  </si>
  <si>
    <t xml:space="preserve"> - trop d'oeuf mort détecté 
 - camera sale ou endommagée</t>
  </si>
  <si>
    <t>Vérifier que l'état des caméras</t>
  </si>
  <si>
    <t>Crash ou mauvais démarrage de l'application PC :
 - Mauvaise connexion du PC à l'automate
 - Mauvaise connexion des caméra à l'automate
 - Problème PC (Saturation mémoire, crash ...)</t>
  </si>
  <si>
    <t xml:space="preserve"> Vérifier connexion des cables entre le PC, Camera et automate
 Redémarrer la machine</t>
  </si>
  <si>
    <t xml:space="preserve"> - Plateau dans le mauvais sens 
 - problème capteur de sens de plateau</t>
  </si>
  <si>
    <t>Vérifier que le plateau est dans le bon sens
Vérifier également que le capteur de sens de plateau est correctement réglé</t>
  </si>
  <si>
    <t>Pas de bit de vie détecté :
 - Mauvaise connexion à l'embase pneumatique
 -  Embase pneumatique défaillante</t>
  </si>
  <si>
    <t>Vérifier la connexion de l'embase pneumatique au PLC 
Vérifier le bon fonctionnement</t>
  </si>
  <si>
    <t xml:space="preserve">  -Onduleur en défaut</t>
  </si>
  <si>
    <t xml:space="preserve"> Relever le défaut affiché sur l'onduleur
 Se référer à  la documentation de celui ci pour résoudre le défaut</t>
  </si>
  <si>
    <t xml:space="preserve"> - L'équipement concerné est passé en mode batterie</t>
  </si>
  <si>
    <t>Vérifier la bonne alimentation de l'équipement.</t>
  </si>
  <si>
    <t xml:space="preserve"> - Plateau trop rapproché</t>
  </si>
  <si>
    <t xml:space="preserve"> Vidanger les plateau de la machine
 Vérifier le bon fonctionnement des capteurs de plateau de la ligne</t>
  </si>
  <si>
    <t>Au moins un élément de sécurité est enclenché.</t>
  </si>
  <si>
    <t>Vérifier les arrêt d’urgence et suivre la procédure de réarmement.</t>
  </si>
  <si>
    <t>Le convoyeur n'est pas en fonctionnement
Il y a un blocage mécanique sur l’élément ou condition non atteinte
Le variateur renvoie un code défaut</t>
  </si>
  <si>
    <t>Vérifier le retour de marche du moteur.
Contrôler le circuit électrique.
Vérifier le montage mécanique. Vérifier le cycle
Si moteur avec variateur : relever le code d'erreur sur le variateur puis se référer à la documentation de celui ci</t>
  </si>
  <si>
    <t>La porte n'est pas fermée</t>
  </si>
  <si>
    <t>Fermeture de la porte
Capteur de capteur défectueux
Câblage électrique défectueux</t>
  </si>
  <si>
    <t xml:space="preserve"> - Plateau coincé
 - Capteur de plateau activé trop longtemps</t>
  </si>
  <si>
    <t>Vérifier que aucun plateau n'est coincé
Vérifier que les capteurs de plateau fonctionne correctement et sont correctement réglé</t>
  </si>
  <si>
    <t xml:space="preserve">Câblage électrique endommagé / défectueux
Disjoncteur tombé ouille
</t>
  </si>
  <si>
    <t>Vérification qu'il n'est pas sectionné
Mesure et remplacement si nécessaire
Contrôler le circuit électrique
Vérifier montage mécanique si moteur</t>
  </si>
  <si>
    <t>Redémarrage production</t>
  </si>
  <si>
    <t>Vidanger la machine et la ligne de production et suivre la procédure de redémarrage machien</t>
  </si>
  <si>
    <t>La communication machine n'est plus établie ou a été coupée</t>
  </si>
  <si>
    <t>Vérifier l'alimentation des automates
Vérifier le câblage de communication
Contrôler les architectures réseau</t>
  </si>
  <si>
    <t>Vide non démarré</t>
  </si>
  <si>
    <t>Vérifier que celui ci est en marche</t>
  </si>
  <si>
    <t>Le codeur ne s'incrémente pas alors que le moteur tourne</t>
  </si>
  <si>
    <t>Vérifier que le codeur est bien serré et tourne bien avec l'arbre moteur
 Si oui : Changer le codeur 
 Si non : resserrer le codeur sur l'arbre</t>
  </si>
  <si>
    <t>Pression d'air non suffisante
Capteur de pression HS ou mal réglé</t>
  </si>
  <si>
    <t>Vérification de la nourrice d'air
Pression de l'air doit être aux paramètres définis lors de la mise en service
Pas de fuite</t>
  </si>
  <si>
    <t>Le retour marche n’est pas renvoyé.
Il y a un blocage mécanique sur l’élément.</t>
  </si>
  <si>
    <t>Vérifier le retour de marche du moteur.
Contrôler le circuit électrique.
Vérifier le montage mécanique.</t>
  </si>
  <si>
    <t>Capteur parafoudre enclenché</t>
  </si>
  <si>
    <t>Vérification du capteur de Parafoudre</t>
  </si>
  <si>
    <t>Glissement des plateaux sur le convoyage</t>
  </si>
  <si>
    <t>Plateau défectueux
Courroie desserrée
Guide du plateau trop serré
Vérifier le bon fonctionnement des capteurs du plateau</t>
  </si>
  <si>
    <t>Paramètres définis dans le variateur incorrects</t>
  </si>
  <si>
    <t>Vérification des paramètres variateur en fonction de l'actionneur</t>
  </si>
  <si>
    <t>Trop de plateaux sur le convoyage</t>
  </si>
  <si>
    <t>Vider manuellement les plateaux en trop
Attente vidange machine ou convoyage</t>
  </si>
  <si>
    <t>La communication avec le variateur n'est plus établie ou a été coupée</t>
  </si>
  <si>
    <t>Vérifier l'alimentation des variateur
Vérifier le câblage de communication
Contrôler les architectures réseau</t>
  </si>
  <si>
    <t>basé sur affaire C01509</t>
  </si>
  <si>
    <t>PMXA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</si>
</sst>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"/>
    </font>
    <font>
      <sz val="11"/>
      <color theme="1"/>
      <name val="Open Sans"/>
      <charset val="1"/>
    </font>
    <font>
      <b/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0D0D0"/>
        <bgColor rgb="FF000000"/>
      </patternFill>
    </fill>
    <fill>
      <patternFill patternType="solid">
        <fgColor rgb="FFC0000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 applyAlignment="1">
      <alignment wrapText="1" readingOrder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2" xfId="0" applyFont="1" applyFill="1" applyBorder="1"/>
    <xf numFmtId="0" fontId="4" fillId="2" borderId="2" xfId="0" applyFont="1" applyFill="1" applyBorder="1" applyAlignment="1">
      <alignment wrapText="1"/>
    </xf>
    <xf numFmtId="2" fontId="4" fillId="2" borderId="3" xfId="0" applyNumberFormat="1" applyFont="1" applyFill="1" applyBorder="1"/>
    <xf numFmtId="0" fontId="4" fillId="2" borderId="4" xfId="0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6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0" borderId="0" xfId="0" quotePrefix="1" applyFont="1" applyAlignment="1">
      <alignment wrapText="1"/>
    </xf>
    <xf numFmtId="0" fontId="1" fillId="0" borderId="0" xfId="0" applyFont="1" applyAlignment="1">
      <alignment vertical="center" wrapText="1" readingOrder="1"/>
    </xf>
    <xf numFmtId="0" fontId="7" fillId="4" borderId="0" xfId="0" applyFont="1" applyFill="1" applyAlignment="1">
      <alignment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alignment horizontal="left" vertical="center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numFmt numFmtId="2" formatCode="0.00"/>
      <alignment horizontal="left" vertical="center"/>
    </dxf>
    <dxf>
      <border outline="0">
        <top style="thin">
          <color theme="4" tint="0.39997558519241921"/>
        </top>
      </border>
    </dxf>
    <dxf>
      <alignment horizontal="left" vertical="center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wrapText="1"/>
    </dxf>
    <dxf>
      <numFmt numFmtId="0" formatCode="General"/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numFmt numFmtId="2" formatCode="0.00"/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9C2D8-4BA7-4BB7-B6A3-F2358F613CF5}" name="Defauts" displayName="Defauts" ref="A1:I90" totalsRowShown="0">
  <autoFilter ref="A1:I90" xr:uid="{F1C9C2D8-4BA7-4BB7-B6A3-F2358F613CF5}"/>
  <tableColumns count="9">
    <tableColumn id="1" xr3:uid="{8F5FD1DA-6F23-450E-9C6A-034FD8045E36}" name="ID" dataDxfId="20"/>
    <tableColumn id="2" xr3:uid="{F5BF3754-F848-456D-B0C2-DA69B602799A}" name="Machine"/>
    <tableColumn id="3" xr3:uid="{5B477D6A-3411-4717-9AF3-01C374C381EE}" name="Groupe" dataDxfId="19"/>
    <tableColumn id="4" xr3:uid="{52328A58-8040-458F-B84F-21274E832B39}" name="Automate"/>
    <tableColumn id="5" xr3:uid="{FCBB5029-7250-4FA0-AEA1-9F0E730DD3CB}" name="type"/>
    <tableColumn id="6" xr3:uid="{60131834-8168-46B5-A8EB-04CEB9C929AF}" name="Nom"/>
    <tableColumn id="9" xr3:uid="{9D8F2E34-F026-4B65-9A99-DADC98755F69}" name="Cause" dataDxfId="18">
      <calculatedColumnFormula>_xlfn.XLOOKUP(E2,liste!A:A,liste!B:B,"AUTRE")</calculatedColumnFormula>
    </tableColumn>
    <tableColumn id="7" xr3:uid="{4FAAB2DC-DDE9-4DE7-8E09-AB8CDE14B124}" name="Solution" dataDxfId="17">
      <calculatedColumnFormula>_xlfn.XLOOKUP(E2,liste!A:A,liste!C:C,"AUTRE")</calculatedColumnFormula>
    </tableColumn>
    <tableColumn id="8" xr3:uid="{01A20CC3-FA1C-48A9-A70C-8F66E75AD0A8}" name="Recherche" dataDxfId="16">
      <calculatedColumnFormula>A2 &amp; " - " &amp; B2 &amp; " - " &amp; C2 &amp; " - " &amp; D2 &amp; " - " &amp; E2 &amp; " - " &amp; F2 &amp; " -" &amp; 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2191D-E016-40F2-ACE5-D9275CB9194C}" name="Tableau2" displayName="Tableau2" ref="A1:H252" totalsRowShown="0">
  <autoFilter ref="A1:H252" xr:uid="{20E2191D-E016-40F2-ACE5-D9275CB9194C}"/>
  <tableColumns count="8">
    <tableColumn id="1" xr3:uid="{00EC4CCB-DEF2-40AC-B48F-2C0A6767FBD7}" name="Nom"/>
    <tableColumn id="2" xr3:uid="{8B373732-D27B-4DF6-8E6F-D3D84C945ABB}" name="ID d'alarme"/>
    <tableColumn id="3" xr3:uid="{E09AF452-0BB8-43C7-BAEE-9719EF625B73}" name="Code de l'événement"/>
    <tableColumn id="4" xr3:uid="{0C2110A1-AE57-40F8-8FA3-D3BBAC01E0E9}" name="Expression"/>
    <tableColumn id="5" xr3:uid="{3DB1EB02-9E2D-451E-8658-65149D6BB18F}" name="Message"/>
    <tableColumn id="6" xr3:uid="{9FAB615F-AF87-40CB-8B25-6D149C001770}" name="explication" dataDxfId="15">
      <calculatedColumnFormula>_xlfn.XLOOKUP("Explication_"&amp;B2,Feuil2!B:B,Feuil2!C:C,"Non trouvé")</calculatedColumnFormula>
    </tableColumn>
    <tableColumn id="7" xr3:uid="{C375D8AB-6EB5-4FB3-8431-F06D57336B2F}" name="cause" dataDxfId="14">
      <calculatedColumnFormula>_xlfn.XLOOKUP("Cause_"&amp;B2,Feuil2!B:B,Feuil2!C:C,"Non trouvé")</calculatedColumnFormula>
    </tableColumn>
    <tableColumn id="8" xr3:uid="{DF7E0321-5A0E-4D27-8512-F0196B083BE7}" name="solution">
      <calculatedColumnFormula>_xlfn.XLOOKUP("Solution_"&amp;B2,Feuil2!B:B,Feuil2!C:C,"Non trouvé")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8BA6F4-5132-4BEF-AE55-A675F5C85EDF}" name="Tableau3" displayName="Tableau3" ref="A1:J108" totalsRowShown="0" headerRowDxfId="13" dataDxfId="11" headerRowBorderDxfId="12" tableBorderDxfId="10">
  <autoFilter ref="A1:J108" xr:uid="{FF8BA6F4-5132-4BEF-AE55-A675F5C85EDF}"/>
  <tableColumns count="10">
    <tableColumn id="1" xr3:uid="{DB0E0742-0406-4D4D-8AB9-50C0D5A7836D}" name="ID" dataDxfId="9"/>
    <tableColumn id="2" xr3:uid="{A005EBB8-B36E-415C-B703-84CB4E270395}" name="Machine" dataDxfId="8"/>
    <tableColumn id="3" xr3:uid="{D446CFD5-BEBE-468D-927F-E1F9484694D7}" name="Groupe" dataDxfId="7"/>
    <tableColumn id="4" xr3:uid="{A2487DE8-E7D5-4C4D-AACF-EA3CF7264ED8}" name="Automate" dataDxfId="6"/>
    <tableColumn id="5" xr3:uid="{3F7FF13A-12E1-4A6F-9C2D-F11F27E9E173}" name="type" dataDxfId="5"/>
    <tableColumn id="6" xr3:uid="{E353DCA6-45A1-43DE-A835-939EB1333ACF}" name="Nom" dataDxfId="4"/>
    <tableColumn id="10" xr3:uid="{53BEBA5C-556A-4EE0-B7D3-04F9BB303CFB}" name="explication"/>
    <tableColumn id="7" xr3:uid="{5582AE3A-72F1-4B14-9212-DBA4C145034C}" name="Cause" dataDxfId="3"/>
    <tableColumn id="8" xr3:uid="{E6F1397B-26E6-4C0D-8ED9-945F3EBD55DB}" name="Solution" dataDxfId="2">
      <calculatedColumnFormula>_xlfn.XLOOKUP(E2,liste!A:A,liste!C:C,"AUTRE")</calculatedColumnFormula>
    </tableColumn>
    <tableColumn id="9" xr3:uid="{1F018425-E957-467B-A2A2-CCE7DBA6F808}" name="Recherche" dataDxfId="1">
      <calculatedColumnFormula>A2 &amp; " - " &amp; B2 &amp; " - " &amp; C2 &amp; " - " &amp; D2 &amp; " - " &amp; E2 &amp; " - " &amp; F2 &amp; " -" &amp; I2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topLeftCell="A23" workbookViewId="0">
      <selection activeCell="F28" sqref="F28"/>
    </sheetView>
  </sheetViews>
  <sheetFormatPr baseColWidth="10" defaultColWidth="9.140625" defaultRowHeight="15" x14ac:dyDescent="0.25"/>
  <cols>
    <col min="1" max="1" width="9.140625" style="2"/>
    <col min="2" max="2" width="11.140625" bestFit="1" customWidth="1"/>
    <col min="3" max="3" width="10.140625" bestFit="1" customWidth="1"/>
    <col min="4" max="4" width="12.42578125" bestFit="1" customWidth="1"/>
    <col min="5" max="5" width="36.85546875" customWidth="1"/>
    <col min="6" max="6" width="66.85546875" customWidth="1"/>
    <col min="7" max="7" width="66.85546875" style="3" customWidth="1"/>
    <col min="8" max="8" width="114.42578125" style="3" customWidth="1"/>
    <col min="9" max="9" width="130.5703125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</row>
    <row r="2" spans="1:9" ht="45" x14ac:dyDescent="0.25">
      <c r="A2" s="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3" t="str">
        <f>_xlfn.XLOOKUP(E2,liste!A:A,liste!B:B,"AUTRE")</f>
        <v xml:space="preserve"> - Capteur mal aligné, mal réglé ou défectueux.
 - Problème de câblage ou de connecteur empêchant une bonne détection.</v>
      </c>
      <c r="H2" s="3" t="str">
        <f>_xlfn.XLOOKUP(E2,liste!A:A,liste!C:C,"AUTRE")</f>
        <v xml:space="preserve"> Vérifier le fonctionnement du capteur via ses voyants.
Contrôler l’alignement, le réglage ainsi que l’état du câblage et des connecteurs.</v>
      </c>
      <c r="I2" t="str">
        <f t="shared" ref="I2:I33" si="0">A2 &amp; " - " &amp; B2 &amp; " - " &amp; C2 &amp; " - " &amp; D2 &amp; " - " &amp; E2 &amp; " - " &amp; F2 &amp; " -" &amp; H2</f>
        <v>1 - PMII - Alarme - Omron - DEFAUT CAPTEUR - Capteur HS - Vérifier le fonctionnement du capteur via ses voyants.
Contrôler l’alignement, le réglage ainsi que l’état du câblage et des connecteurs.</v>
      </c>
    </row>
    <row r="3" spans="1:9" ht="45" x14ac:dyDescent="0.25">
      <c r="A3" s="2">
        <v>2</v>
      </c>
      <c r="B3" t="s">
        <v>14</v>
      </c>
      <c r="C3" t="s">
        <v>10</v>
      </c>
      <c r="D3" t="s">
        <v>15</v>
      </c>
      <c r="E3" t="s">
        <v>12</v>
      </c>
      <c r="F3" t="s">
        <v>16</v>
      </c>
      <c r="G3" s="3" t="str">
        <f>_xlfn.XLOOKUP(E3,liste!A:A,liste!B:B,"AUTRE")</f>
        <v xml:space="preserve"> - Capteur mal aligné, mal réglé ou défectueux.
 - Problème de câblage ou de connecteur empêchant une bonne détection.</v>
      </c>
      <c r="H3" s="3" t="str">
        <f>_xlfn.XLOOKUP(E3,liste!A:A,liste!C:C,"AUTRE")</f>
        <v xml:space="preserve"> Vérifier le fonctionnement du capteur via ses voyants.
Contrôler l’alignement, le réglage ainsi que l’état du câblage et des connecteurs.</v>
      </c>
      <c r="I3" t="str">
        <f t="shared" si="0"/>
        <v>2 - PMAF - Alarme - M340 - DEFAUT CAPTEUR - DEFAUT CAPTEUR DECELERATION SUR LIFE (DT01) - Vérifier le fonctionnement du capteur via ses voyants.
Contrôler l’alignement, le réglage ainsi que l’état du câblage et des connecteurs.</v>
      </c>
    </row>
    <row r="4" spans="1:9" ht="45" x14ac:dyDescent="0.25">
      <c r="A4" s="2">
        <v>3</v>
      </c>
      <c r="B4" t="s">
        <v>14</v>
      </c>
      <c r="C4" t="s">
        <v>10</v>
      </c>
      <c r="D4" t="s">
        <v>15</v>
      </c>
      <c r="E4" t="s">
        <v>12</v>
      </c>
      <c r="F4" t="s">
        <v>17</v>
      </c>
      <c r="G4" s="3" t="str">
        <f>_xlfn.XLOOKUP(E4,liste!A:A,liste!B:B,"AUTRE")</f>
        <v xml:space="preserve"> - Capteur mal aligné, mal réglé ou défectueux.
 - Problème de câblage ou de connecteur empêchant une bonne détection.</v>
      </c>
      <c r="H4" s="3" t="str">
        <f>_xlfn.XLOOKUP(E4,liste!A:A,liste!C:C,"AUTRE")</f>
        <v xml:space="preserve"> Vérifier le fonctionnement du capteur via ses voyants.
Contrôler l’alignement, le réglage ainsi que l’état du câblage et des connecteurs.</v>
      </c>
      <c r="I4" t="str">
        <f t="shared" si="0"/>
        <v>3 - PMAF - Alarme - M340 - DEFAUT CAPTEUR - DEFAUT CAPTEUR PLATEAU EN POSITION SUR LIFE (DT02) - Vérifier le fonctionnement du capteur via ses voyants.
Contrôler l’alignement, le réglage ainsi que l’état du câblage et des connecteurs.</v>
      </c>
    </row>
    <row r="5" spans="1:9" ht="45" x14ac:dyDescent="0.25">
      <c r="A5" s="2">
        <v>4</v>
      </c>
      <c r="B5" t="s">
        <v>14</v>
      </c>
      <c r="C5" t="s">
        <v>10</v>
      </c>
      <c r="D5" t="s">
        <v>15</v>
      </c>
      <c r="E5" t="s">
        <v>12</v>
      </c>
      <c r="F5" t="s">
        <v>18</v>
      </c>
      <c r="G5" s="3" t="str">
        <f>_xlfn.XLOOKUP(E5,liste!A:A,liste!B:B,"AUTRE")</f>
        <v xml:space="preserve"> - Capteur mal aligné, mal réglé ou défectueux.
 - Problème de câblage ou de connecteur empêchant une bonne détection.</v>
      </c>
      <c r="H5" s="3" t="str">
        <f>_xlfn.XLOOKUP(E5,liste!A:A,liste!C:C,"AUTRE")</f>
        <v xml:space="preserve"> Vérifier le fonctionnement du capteur via ses voyants.
Contrôler l’alignement, le réglage ainsi que l’état du câblage et des connecteurs.</v>
      </c>
      <c r="I5" t="str">
        <f t="shared" si="0"/>
        <v>4 - PMAF - Alarme - M340 - DEFAUT CAPTEUR - DEFAUT CAPTEUR TOP PRISE N°1 (DT06) - Vérifier le fonctionnement du capteur via ses voyants.
Contrôler l’alignement, le réglage ainsi que l’état du câblage et des connecteurs.</v>
      </c>
    </row>
    <row r="6" spans="1:9" ht="45" x14ac:dyDescent="0.25">
      <c r="A6" s="2">
        <v>5</v>
      </c>
      <c r="B6" t="s">
        <v>14</v>
      </c>
      <c r="C6" t="s">
        <v>10</v>
      </c>
      <c r="D6" t="s">
        <v>15</v>
      </c>
      <c r="E6" t="s">
        <v>12</v>
      </c>
      <c r="F6" t="s">
        <v>19</v>
      </c>
      <c r="G6" s="3" t="str">
        <f>_xlfn.XLOOKUP(E6,liste!A:A,liste!B:B,"AUTRE")</f>
        <v xml:space="preserve"> - Capteur mal aligné, mal réglé ou défectueux.
 - Problème de câblage ou de connecteur empêchant une bonne détection.</v>
      </c>
      <c r="H6" s="3" t="str">
        <f>_xlfn.XLOOKUP(E6,liste!A:A,liste!C:C,"AUTRE")</f>
        <v xml:space="preserve"> Vérifier le fonctionnement du capteur via ses voyants.
Contrôler l’alignement, le réglage ainsi que l’état du câblage et des connecteurs.</v>
      </c>
      <c r="I6" t="str">
        <f t="shared" si="0"/>
        <v>5 - PMAF - Alarme - M340 - DEFAUT CAPTEUR - DEFAUT CAPTEUR TOP ENLEVEMENT (DT05) - Vérifier le fonctionnement du capteur via ses voyants.
Contrôler l’alignement, le réglage ainsi que l’état du câblage et des connecteurs.</v>
      </c>
    </row>
    <row r="7" spans="1:9" ht="45" x14ac:dyDescent="0.25">
      <c r="A7" s="2">
        <v>6</v>
      </c>
      <c r="B7" t="s">
        <v>14</v>
      </c>
      <c r="C7" t="s">
        <v>10</v>
      </c>
      <c r="D7" t="s">
        <v>15</v>
      </c>
      <c r="E7" t="s">
        <v>12</v>
      </c>
      <c r="F7" t="s">
        <v>20</v>
      </c>
      <c r="G7" s="3" t="str">
        <f>_xlfn.XLOOKUP(E7,liste!A:A,liste!B:B,"AUTRE")</f>
        <v xml:space="preserve"> - Capteur mal aligné, mal réglé ou défectueux.
 - Problème de câblage ou de connecteur empêchant une bonne détection.</v>
      </c>
      <c r="H7" s="3" t="str">
        <f>_xlfn.XLOOKUP(E7,liste!A:A,liste!C:C,"AUTRE")</f>
        <v xml:space="preserve"> Vérifier le fonctionnement du capteur via ses voyants.
Contrôler l’alignement, le réglage ainsi que l’état du câblage et des connecteurs.</v>
      </c>
      <c r="I7" t="str">
        <f t="shared" si="0"/>
        <v>6 - PMAF - Alarme - M340 - DEFAUT CAPTEUR - DEFAUT CAPTEUR TOP PRISE N°2 (DT07) - Vérifier le fonctionnement du capteur via ses voyants.
Contrôler l’alignement, le réglage ainsi que l’état du câblage et des connecteurs.</v>
      </c>
    </row>
    <row r="8" spans="1:9" ht="45" x14ac:dyDescent="0.25">
      <c r="B8" t="s">
        <v>14</v>
      </c>
      <c r="C8" t="s">
        <v>10</v>
      </c>
      <c r="D8" t="s">
        <v>15</v>
      </c>
      <c r="E8" t="s">
        <v>12</v>
      </c>
      <c r="F8" t="s">
        <v>21</v>
      </c>
      <c r="G8" s="3" t="str">
        <f>_xlfn.XLOOKUP(E8,liste!A:A,liste!B:B,"AUTRE")</f>
        <v xml:space="preserve"> - Capteur mal aligné, mal réglé ou défectueux.
 - Problème de câblage ou de connecteur empêchant une bonne détection.</v>
      </c>
      <c r="H8" s="3" t="str">
        <f>_xlfn.XLOOKUP(E8,liste!A:A,liste!C:C,"AUTRE")</f>
        <v xml:space="preserve"> Vérifier le fonctionnement du capteur via ses voyants.
Contrôler l’alignement, le réglage ainsi que l’état du câblage et des connecteurs.</v>
      </c>
      <c r="I8" t="str">
        <f t="shared" si="0"/>
        <v xml:space="preserve"> - PMAF - Alarme - M340 - DEFAUT CAPTEUR - DEFAUT CAPTEUR TOP PRISE N°3 (DT08) - Vérifier le fonctionnement du capteur via ses voyants.
Contrôler l’alignement, le réglage ainsi que l’état du câblage et des connecteurs.</v>
      </c>
    </row>
    <row r="9" spans="1:9" ht="30" x14ac:dyDescent="0.25">
      <c r="B9" t="s">
        <v>14</v>
      </c>
      <c r="C9" t="s">
        <v>10</v>
      </c>
      <c r="D9" t="s">
        <v>15</v>
      </c>
      <c r="E9" t="s">
        <v>22</v>
      </c>
      <c r="F9" t="s">
        <v>23</v>
      </c>
      <c r="G9" s="3" t="str">
        <f>_xlfn.XLOOKUP(E9,liste!A:A,liste!B:B,"AUTRE")</f>
        <v xml:space="preserve"> - trop d'oeuf mort détecté 
 - camera sale ou endommagée</v>
      </c>
      <c r="H9" s="3" t="str">
        <f>_xlfn.XLOOKUP(E9,liste!A:A,liste!C:C,"AUTRE")</f>
        <v>Vérifier que l'état des caméras</v>
      </c>
      <c r="I9" t="str">
        <f t="shared" si="0"/>
        <v xml:space="preserve"> - PMAF - Alarme - M340 - DEFAUT CAMERA - DEFAUT CAMERA1 -Vérifier que l'état des caméras</v>
      </c>
    </row>
    <row r="10" spans="1:9" ht="30" x14ac:dyDescent="0.25">
      <c r="B10" t="s">
        <v>14</v>
      </c>
      <c r="C10" t="s">
        <v>10</v>
      </c>
      <c r="D10" t="s">
        <v>15</v>
      </c>
      <c r="E10" t="s">
        <v>22</v>
      </c>
      <c r="F10" t="s">
        <v>24</v>
      </c>
      <c r="G10" s="3" t="str">
        <f>_xlfn.XLOOKUP(E10,liste!A:A,liste!B:B,"AUTRE")</f>
        <v xml:space="preserve"> - trop d'oeuf mort détecté 
 - camera sale ou endommagée</v>
      </c>
      <c r="H10" s="3" t="str">
        <f>_xlfn.XLOOKUP(E10,liste!A:A,liste!C:C,"AUTRE")</f>
        <v>Vérifier que l'état des caméras</v>
      </c>
      <c r="I10" t="str">
        <f t="shared" si="0"/>
        <v xml:space="preserve"> - PMAF - Alarme - M340 - DEFAUT CAMERA - DEFAUT CAMERA2 -Vérifier que l'état des caméras</v>
      </c>
    </row>
    <row r="11" spans="1:9" ht="30" x14ac:dyDescent="0.25">
      <c r="B11" t="s">
        <v>14</v>
      </c>
      <c r="C11" t="s">
        <v>10</v>
      </c>
      <c r="D11" t="s">
        <v>15</v>
      </c>
      <c r="E11" t="s">
        <v>22</v>
      </c>
      <c r="F11" t="s">
        <v>25</v>
      </c>
      <c r="G11" s="3" t="str">
        <f>_xlfn.XLOOKUP(E11,liste!A:A,liste!B:B,"AUTRE")</f>
        <v xml:space="preserve"> - trop d'oeuf mort détecté 
 - camera sale ou endommagée</v>
      </c>
      <c r="H11" s="3" t="str">
        <f>_xlfn.XLOOKUP(E11,liste!A:A,liste!C:C,"AUTRE")</f>
        <v>Vérifier que l'état des caméras</v>
      </c>
      <c r="I11" t="str">
        <f t="shared" si="0"/>
        <v xml:space="preserve"> - PMAF - Alarme - M340 - DEFAUT CAMERA - DEFAUT CAMERA3 -Vérifier que l'état des caméras</v>
      </c>
    </row>
    <row r="12" spans="1:9" ht="30" x14ac:dyDescent="0.25">
      <c r="B12" t="s">
        <v>14</v>
      </c>
      <c r="C12" t="s">
        <v>10</v>
      </c>
      <c r="D12" t="s">
        <v>15</v>
      </c>
      <c r="E12" t="s">
        <v>22</v>
      </c>
      <c r="F12" t="s">
        <v>26</v>
      </c>
      <c r="G12" s="3" t="str">
        <f>_xlfn.XLOOKUP(E12,liste!A:A,liste!B:B,"AUTRE")</f>
        <v xml:space="preserve"> - trop d'oeuf mort détecté 
 - camera sale ou endommagée</v>
      </c>
      <c r="H12" s="3" t="str">
        <f>_xlfn.XLOOKUP(E12,liste!A:A,liste!C:C,"AUTRE")</f>
        <v>Vérifier que l'état des caméras</v>
      </c>
      <c r="I12" t="str">
        <f t="shared" si="0"/>
        <v xml:space="preserve"> - PMAF - Alarme - M340 - DEFAUT CAMERA - DEFAUT CAMERA4 -Vérifier que l'état des caméras</v>
      </c>
    </row>
    <row r="13" spans="1:9" ht="30" x14ac:dyDescent="0.25">
      <c r="B13" t="s">
        <v>14</v>
      </c>
      <c r="C13" t="s">
        <v>10</v>
      </c>
      <c r="D13" t="s">
        <v>15</v>
      </c>
      <c r="E13" t="s">
        <v>22</v>
      </c>
      <c r="F13" t="s">
        <v>27</v>
      </c>
      <c r="G13" s="3" t="str">
        <f>_xlfn.XLOOKUP(E13,liste!A:A,liste!B:B,"AUTRE")</f>
        <v xml:space="preserve"> - trop d'oeuf mort détecté 
 - camera sale ou endommagée</v>
      </c>
      <c r="H13" s="3" t="str">
        <f>_xlfn.XLOOKUP(E13,liste!A:A,liste!C:C,"AUTRE")</f>
        <v>Vérifier que l'état des caméras</v>
      </c>
      <c r="I13" t="str">
        <f t="shared" si="0"/>
        <v xml:space="preserve"> - PMAF - Alarme - M340 - DEFAUT CAMERA - DEFAUT CAMERA5 -Vérifier que l'état des caméras</v>
      </c>
    </row>
    <row r="14" spans="1:9" ht="30" x14ac:dyDescent="0.25">
      <c r="B14" t="s">
        <v>14</v>
      </c>
      <c r="C14" t="s">
        <v>10</v>
      </c>
      <c r="D14" t="s">
        <v>15</v>
      </c>
      <c r="E14" t="s">
        <v>22</v>
      </c>
      <c r="F14" t="s">
        <v>28</v>
      </c>
      <c r="G14" s="3" t="str">
        <f>_xlfn.XLOOKUP(E14,liste!A:A,liste!B:B,"AUTRE")</f>
        <v xml:space="preserve"> - trop d'oeuf mort détecté 
 - camera sale ou endommagée</v>
      </c>
      <c r="H14" s="3" t="str">
        <f>_xlfn.XLOOKUP(E14,liste!A:A,liste!C:C,"AUTRE")</f>
        <v>Vérifier que l'état des caméras</v>
      </c>
      <c r="I14" t="str">
        <f t="shared" si="0"/>
        <v xml:space="preserve"> - PMAF - Alarme - M340 - DEFAUT CAMERA - DEFAUT CAMERA6 -Vérifier que l'état des caméras</v>
      </c>
    </row>
    <row r="15" spans="1:9" ht="45" x14ac:dyDescent="0.25">
      <c r="B15" t="s">
        <v>14</v>
      </c>
      <c r="C15" t="s">
        <v>10</v>
      </c>
      <c r="D15" t="s">
        <v>15</v>
      </c>
      <c r="E15" t="s">
        <v>12</v>
      </c>
      <c r="F15" t="s">
        <v>29</v>
      </c>
      <c r="G15" s="3" t="str">
        <f>_xlfn.XLOOKUP(E15,liste!A:A,liste!B:B,"AUTRE")</f>
        <v xml:space="preserve"> - Capteur mal aligné, mal réglé ou défectueux.
 - Problème de câblage ou de connecteur empêchant une bonne détection.</v>
      </c>
      <c r="H15" s="3" t="str">
        <f>_xlfn.XLOOKUP(E15,liste!A:A,liste!C:C,"AUTRE")</f>
        <v xml:space="preserve"> Vérifier le fonctionnement du capteur via ses voyants.
Contrôler l’alignement, le réglage ainsi que l’état du câblage et des connecteurs.</v>
      </c>
      <c r="I15" t="str">
        <f t="shared" si="0"/>
        <v xml:space="preserve"> - PMAF - Alarme - M340 - DEFAUT CAPTEUR - DEFAUT CAPTEUR TOP MIRAGE (DT03) - Vérifier le fonctionnement du capteur via ses voyants.
Contrôler l’alignement, le réglage ainsi que l’état du câblage et des connecteurs.</v>
      </c>
    </row>
    <row r="16" spans="1:9" ht="60" x14ac:dyDescent="0.25">
      <c r="B16" t="s">
        <v>14</v>
      </c>
      <c r="C16" t="s">
        <v>10</v>
      </c>
      <c r="D16" t="s">
        <v>15</v>
      </c>
      <c r="E16" t="s">
        <v>30</v>
      </c>
      <c r="F16" t="s">
        <v>31</v>
      </c>
      <c r="G16" s="3" t="str">
        <f>_xlfn.XLOOKUP(E16,liste!A:A,liste!B:B,"AUTRE")</f>
        <v>Crash ou mauvais démarrage de l'application PC :
 - Mauvaise connexion du PC à l'automate
 - Mauvaise connexion des caméra à l'automate
 - Problème PC (Saturation mémoire, crash ...)</v>
      </c>
      <c r="H16" s="3" t="str">
        <f>_xlfn.XLOOKUP(E16,liste!A:A,liste!C:C,"AUTRE")</f>
        <v xml:space="preserve"> Vérifier connexion des cables entre le PC, Camera et automate
 Redémarrer la machine</v>
      </c>
      <c r="I16" t="str">
        <f t="shared" si="0"/>
        <v xml:space="preserve"> - PMAF - Alarme - M340 - DEFAUT CR PC_PLC - DEFAUT RETOUR CR PC_PLC - Vérifier connexion des cables entre le PC, Camera et automate
 Redémarrer la machine</v>
      </c>
    </row>
    <row r="17" spans="2:9" ht="45" x14ac:dyDescent="0.25">
      <c r="B17" t="s">
        <v>14</v>
      </c>
      <c r="C17" t="s">
        <v>10</v>
      </c>
      <c r="D17" t="s">
        <v>15</v>
      </c>
      <c r="E17" t="s">
        <v>12</v>
      </c>
      <c r="F17" t="s">
        <v>32</v>
      </c>
      <c r="G17" s="3" t="str">
        <f>_xlfn.XLOOKUP(E17,liste!A:A,liste!B:B,"AUTRE")</f>
        <v xml:space="preserve"> - Capteur mal aligné, mal réglé ou défectueux.
 - Problème de câblage ou de connecteur empêchant une bonne détection.</v>
      </c>
      <c r="H17" s="3" t="str">
        <f>_xlfn.XLOOKUP(E17,liste!A:A,liste!C:C,"AUTRE")</f>
        <v xml:space="preserve"> Vérifier le fonctionnement du capteur via ses voyants.
Contrôler l’alignement, le réglage ainsi que l’état du câblage et des connecteurs.</v>
      </c>
      <c r="I17" t="str">
        <f t="shared" si="0"/>
        <v xml:space="preserve"> - PMAF - Alarme - M340 - DEFAUT CAPTEUR - DEFAUT CAPTEUR ESPACE LIBRE SORTIE MIRAGE (DT04) - Vérifier le fonctionnement du capteur via ses voyants.
Contrôler l’alignement, le réglage ainsi que l’état du câblage et des connecteurs.</v>
      </c>
    </row>
    <row r="18" spans="2:9" ht="30" x14ac:dyDescent="0.25">
      <c r="B18" t="s">
        <v>14</v>
      </c>
      <c r="C18" t="s">
        <v>10</v>
      </c>
      <c r="D18" t="s">
        <v>15</v>
      </c>
      <c r="E18" t="s">
        <v>33</v>
      </c>
      <c r="F18" t="s">
        <v>34</v>
      </c>
      <c r="G18" s="3" t="str">
        <f>_xlfn.XLOOKUP(E18,liste!A:A,liste!B:B,"AUTRE")</f>
        <v xml:space="preserve"> - Plateau dans le mauvais sens 
 - problème capteur de sens de plateau</v>
      </c>
      <c r="H18" s="3" t="str">
        <f>_xlfn.XLOOKUP(E18,liste!A:A,liste!C:C,"AUTRE")</f>
        <v>Vérifier que le plateau est dans le bon sens
Vérifier également que le capteur de sens de plateau est correctement réglé</v>
      </c>
      <c r="I18" t="str">
        <f t="shared" si="0"/>
        <v xml:space="preserve"> - PMAF - Alarme - M340 - PLATEAU MAUVAIS SENS - PLATEAU DANS LE MAUVAIS SENS -Vérifier que le plateau est dans le bon sens
Vérifier également que le capteur de sens de plateau est correctement réglé</v>
      </c>
    </row>
    <row r="19" spans="2:9" ht="30" x14ac:dyDescent="0.25">
      <c r="B19" t="s">
        <v>14</v>
      </c>
      <c r="C19" t="s">
        <v>10</v>
      </c>
      <c r="D19" t="s">
        <v>15</v>
      </c>
      <c r="E19" t="s">
        <v>35</v>
      </c>
      <c r="F19" t="s">
        <v>36</v>
      </c>
      <c r="G19" s="3" t="str">
        <f>_xlfn.XLOOKUP(E19,liste!A:A,liste!B:B,"AUTRE")</f>
        <v xml:space="preserve">  -Onduleur en défaut</v>
      </c>
      <c r="H19" s="3" t="str">
        <f>_xlfn.XLOOKUP(E19,liste!A:A,liste!C:C,"AUTRE")</f>
        <v xml:space="preserve"> Relever le défaut affiché sur l'onduleur
 Se référer à  la documentation de celui ci pour résoudre le défaut</v>
      </c>
      <c r="I19" t="str">
        <f t="shared" si="0"/>
        <v xml:space="preserve"> - PMAF - Alarme - M340 - DEFAUT ONDULEUR - DEFAUT ONDULEUR SUR ENLEVEMENT#1 - Relever le défaut affiché sur l'onduleur
 Se référer à  la documentation de celui ci pour résoudre le défaut</v>
      </c>
    </row>
    <row r="20" spans="2:9" x14ac:dyDescent="0.25">
      <c r="B20" t="s">
        <v>14</v>
      </c>
      <c r="C20" t="s">
        <v>10</v>
      </c>
      <c r="D20" t="s">
        <v>15</v>
      </c>
      <c r="E20" s="1" t="s">
        <v>37</v>
      </c>
      <c r="F20" t="s">
        <v>38</v>
      </c>
      <c r="G20" s="3" t="str">
        <f>_xlfn.XLOOKUP(E20,liste!A:A,liste!B:B,"AUTRE")</f>
        <v xml:space="preserve"> - L'équipement concerné est passé en mode batterie</v>
      </c>
      <c r="H20" s="3" t="str">
        <f>_xlfn.XLOOKUP(E20,liste!A:A,liste!C:C,"AUTRE")</f>
        <v>Vérifier la bonne alimentation de l'équipement.</v>
      </c>
      <c r="I20" t="str">
        <f t="shared" si="0"/>
        <v xml:space="preserve"> - PMAF - Alarme - M340 - DEFAUT COUPURE ALIMENTATION - DEFAUT COUPURE ALIMENTATION ENLEVEMENT#1 -Vérifier la bonne alimentation de l'équipement.</v>
      </c>
    </row>
    <row r="21" spans="2:9" ht="30" x14ac:dyDescent="0.25">
      <c r="B21" t="s">
        <v>14</v>
      </c>
      <c r="C21" t="s">
        <v>10</v>
      </c>
      <c r="D21" t="s">
        <v>15</v>
      </c>
      <c r="E21" s="1" t="s">
        <v>39</v>
      </c>
      <c r="F21" t="s">
        <v>40</v>
      </c>
      <c r="G21" s="3" t="str">
        <f>_xlfn.XLOOKUP(E21,liste!A:A,liste!B:B,"AUTRE")</f>
        <v xml:space="preserve"> - Plateau trop rapproché</v>
      </c>
      <c r="H21" s="3" t="str">
        <f>_xlfn.XLOOKUP(E21,liste!A:A,liste!C:C,"AUTRE")</f>
        <v xml:space="preserve"> Vidanger les plateau de la machine
 Vérifier le bon fonctionnement des capteurs de plateau de la ligne</v>
      </c>
      <c r="I21" t="str">
        <f t="shared" si="0"/>
        <v xml:space="preserve"> - PMAF - Alarme - M340 - DEFAUT PLATEAUX COLLES - DEFAUT PLATEAUX COLLES SOUS ENLEVEMENT - Vidanger les plateau de la machine
 Vérifier le bon fonctionnement des capteurs de plateau de la ligne</v>
      </c>
    </row>
    <row r="22" spans="2:9" x14ac:dyDescent="0.25">
      <c r="B22" t="s">
        <v>14</v>
      </c>
      <c r="C22" t="s">
        <v>10</v>
      </c>
      <c r="D22" t="s">
        <v>15</v>
      </c>
      <c r="E22" t="s">
        <v>41</v>
      </c>
      <c r="F22" t="s">
        <v>42</v>
      </c>
      <c r="G22" s="3" t="str">
        <f>_xlfn.XLOOKUP(E22,liste!A:A,liste!B:B,"AUTRE")</f>
        <v>Au moins un élément de sécurité est enclenché.</v>
      </c>
      <c r="H22" s="3" t="str">
        <f>_xlfn.XLOOKUP(E22,liste!A:A,liste!C:C,"AUTRE")</f>
        <v>Vérifier les arrêt d’urgence et suivre la procédure de réarmement.</v>
      </c>
      <c r="I22" t="str">
        <f t="shared" si="0"/>
        <v xml:space="preserve"> - PMAF - Alarme - M340 - DEFAUT ARRET D'URGENCE - ARRET D'URGENCE ENCLENCHE SUR TRANSFERT -Vérifier les arrêt d’urgence et suivre la procédure de réarmement.</v>
      </c>
    </row>
    <row r="23" spans="2:9" ht="60" x14ac:dyDescent="0.25">
      <c r="B23" t="s">
        <v>14</v>
      </c>
      <c r="C23" t="s">
        <v>10</v>
      </c>
      <c r="D23" t="s">
        <v>15</v>
      </c>
      <c r="E23" t="s">
        <v>43</v>
      </c>
      <c r="F23" t="s">
        <v>44</v>
      </c>
      <c r="G23" s="3" t="str">
        <f>_xlfn.XLOOKUP(E23,liste!A:A,liste!B:B,"AUTRE")</f>
        <v>Le convoyeur n'est pas en fonctionnement
Il y a un blocage mécanique sur l’élément ou condition non atteinte
Le variateur renvoie un code défaut</v>
      </c>
      <c r="H23" s="3" t="str">
        <f>_xlfn.XLOOKUP(E23,liste!A:A,liste!C:C,"AUTRE")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23" t="str">
        <f t="shared" si="0"/>
        <v xml:space="preserve"> - PMAF - Alarme - M340 - DEFAUT VARIATEUR - DEFAUT CONVOYEUR SOUS TRANSFERT 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24" spans="2:9" ht="60" x14ac:dyDescent="0.25">
      <c r="B24" t="s">
        <v>14</v>
      </c>
      <c r="C24" t="s">
        <v>10</v>
      </c>
      <c r="D24" t="s">
        <v>15</v>
      </c>
      <c r="E24" t="s">
        <v>43</v>
      </c>
      <c r="F24" t="s">
        <v>45</v>
      </c>
      <c r="G24" s="3" t="str">
        <f>_xlfn.XLOOKUP(E24,liste!A:A,liste!B:B,"AUTRE")</f>
        <v>Le convoyeur n'est pas en fonctionnement
Il y a un blocage mécanique sur l’élément ou condition non atteinte
Le variateur renvoie un code défaut</v>
      </c>
      <c r="H24" s="3" t="str">
        <f>_xlfn.XLOOKUP(E24,liste!A:A,liste!C:C,"AUTRE")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24" t="str">
        <f t="shared" si="0"/>
        <v xml:space="preserve"> - PMAF - Alarme - M340 - DEFAUT VARIATEUR - DEFAUT CONVOYEUR SORTIE TRANSFERT 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25" spans="2:9" ht="60" x14ac:dyDescent="0.25">
      <c r="B25" t="s">
        <v>14</v>
      </c>
      <c r="C25" t="s">
        <v>10</v>
      </c>
      <c r="D25" t="s">
        <v>15</v>
      </c>
      <c r="E25" t="s">
        <v>43</v>
      </c>
      <c r="F25" t="s">
        <v>46</v>
      </c>
      <c r="G25" s="3" t="str">
        <f>_xlfn.XLOOKUP(E25,liste!A:A,liste!B:B,"AUTRE")</f>
        <v>Le convoyeur n'est pas en fonctionnement
Il y a un blocage mécanique sur l’élément ou condition non atteinte
Le variateur renvoie un code défaut</v>
      </c>
      <c r="H25" s="3" t="str">
        <f>_xlfn.XLOOKUP(E25,liste!A:A,liste!C:C,"AUTRE")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25" t="str">
        <f t="shared" si="0"/>
        <v xml:space="preserve"> - PMAF - Alarme - M340 - DEFAUT VARIATEUR - DEFAUT CONVOYEUR ENTREE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26" spans="2:9" ht="30" x14ac:dyDescent="0.25">
      <c r="B26" t="s">
        <v>14</v>
      </c>
      <c r="C26" t="s">
        <v>10</v>
      </c>
      <c r="D26" t="s">
        <v>15</v>
      </c>
      <c r="E26" t="s">
        <v>35</v>
      </c>
      <c r="F26" t="s">
        <v>47</v>
      </c>
      <c r="G26" s="3" t="str">
        <f>_xlfn.XLOOKUP(E26,liste!A:A,liste!B:B,"AUTRE")</f>
        <v xml:space="preserve">  -Onduleur en défaut</v>
      </c>
      <c r="H26" s="3" t="str">
        <f>_xlfn.XLOOKUP(E26,liste!A:A,liste!C:C,"AUTRE")</f>
        <v xml:space="preserve"> Relever le défaut affiché sur l'onduleur
 Se référer à  la documentation de celui ci pour résoudre le défaut</v>
      </c>
      <c r="I26" t="str">
        <f t="shared" si="0"/>
        <v xml:space="preserve"> - PMAF - Alarme - M340 - DEFAUT ONDULEUR - DEFAUT ONDULEUR SUR TRANSFERT - Relever le défaut affiché sur l'onduleur
 Se référer à  la documentation de celui ci pour résoudre le défaut</v>
      </c>
    </row>
    <row r="27" spans="2:9" x14ac:dyDescent="0.25">
      <c r="B27" t="s">
        <v>14</v>
      </c>
      <c r="C27" t="s">
        <v>10</v>
      </c>
      <c r="D27" t="s">
        <v>15</v>
      </c>
      <c r="E27" t="s">
        <v>37</v>
      </c>
      <c r="F27" t="s">
        <v>48</v>
      </c>
      <c r="G27" s="3" t="str">
        <f>_xlfn.XLOOKUP(E27,liste!A:A,liste!B:B,"AUTRE")</f>
        <v xml:space="preserve"> - L'équipement concerné est passé en mode batterie</v>
      </c>
      <c r="H27" s="3" t="str">
        <f>_xlfn.XLOOKUP(E27,liste!A:A,liste!C:C,"AUTRE")</f>
        <v>Vérifier la bonne alimentation de l'équipement.</v>
      </c>
      <c r="I27" t="str">
        <f t="shared" si="0"/>
        <v xml:space="preserve"> - PMAF - Alarme - M340 - DEFAUT COUPURE ALIMENTATION - DEFAUT COUPURE ALIMENTATION SUR TRANSFERT -Vérifier la bonne alimentation de l'équipement.</v>
      </c>
    </row>
    <row r="28" spans="2:9" ht="45" x14ac:dyDescent="0.25">
      <c r="B28" t="s">
        <v>14</v>
      </c>
      <c r="C28" t="s">
        <v>10</v>
      </c>
      <c r="D28" t="s">
        <v>15</v>
      </c>
      <c r="E28" t="s">
        <v>12</v>
      </c>
      <c r="F28" t="s">
        <v>49</v>
      </c>
      <c r="G28" s="3" t="str">
        <f>_xlfn.XLOOKUP(E28,liste!A:A,liste!B:B,"AUTRE")</f>
        <v xml:space="preserve"> - Capteur mal aligné, mal réglé ou défectueux.
 - Problème de câblage ou de connecteur empêchant une bonne détection.</v>
      </c>
      <c r="H28" s="3" t="str">
        <f>_xlfn.XLOOKUP(E28,liste!A:A,liste!C:C,"AUTRE")</f>
        <v xml:space="preserve"> Vérifier le fonctionnement du capteur via ses voyants.
Contrôler l’alignement, le réglage ainsi que l’état du câblage et des connecteurs.</v>
      </c>
      <c r="I28" t="str">
        <f t="shared" si="0"/>
        <v xml:space="preserve"> - PMAF - Alarme - M340 - DEFAUT CAPTEUR - DEFAUT CAPTEUR TRANSFERT SORTI (DT06) - Vérifier le fonctionnement du capteur via ses voyants.
Contrôler l’alignement, le réglage ainsi que l’état du câblage et des connecteurs.</v>
      </c>
    </row>
    <row r="29" spans="2:9" ht="45" x14ac:dyDescent="0.25">
      <c r="B29" t="s">
        <v>14</v>
      </c>
      <c r="C29" t="s">
        <v>10</v>
      </c>
      <c r="D29" t="s">
        <v>15</v>
      </c>
      <c r="E29" t="s">
        <v>12</v>
      </c>
      <c r="F29" t="s">
        <v>50</v>
      </c>
      <c r="G29" s="3" t="str">
        <f>_xlfn.XLOOKUP(E29,liste!A:A,liste!B:B,"AUTRE")</f>
        <v xml:space="preserve"> - Capteur mal aligné, mal réglé ou défectueux.
 - Problème de câblage ou de connecteur empêchant une bonne détection.</v>
      </c>
      <c r="H29" s="3" t="str">
        <f>_xlfn.XLOOKUP(E29,liste!A:A,liste!C:C,"AUTRE")</f>
        <v xml:space="preserve"> Vérifier le fonctionnement du capteur via ses voyants.
Contrôler l’alignement, le réglage ainsi que l’état du câblage et des connecteurs.</v>
      </c>
      <c r="I29" t="str">
        <f t="shared" si="0"/>
        <v xml:space="preserve"> - PMAF - Alarme - M340 - DEFAUT CAPTEUR - DEFAUT CAPTEUR TRANSFERT RENTRE (DT05) - Vérifier le fonctionnement du capteur via ses voyants.
Contrôler l’alignement, le réglage ainsi que l’état du câblage et des connecteurs.</v>
      </c>
    </row>
    <row r="30" spans="2:9" ht="45" x14ac:dyDescent="0.25">
      <c r="B30" t="s">
        <v>14</v>
      </c>
      <c r="C30" t="s">
        <v>10</v>
      </c>
      <c r="D30" t="s">
        <v>15</v>
      </c>
      <c r="E30" t="s">
        <v>51</v>
      </c>
      <c r="F30" t="s">
        <v>52</v>
      </c>
      <c r="G30" s="3" t="str">
        <f>_xlfn.XLOOKUP(E30,liste!A:A,liste!B:B,"AUTRE")</f>
        <v>La porte n'est pas fermée</v>
      </c>
      <c r="H30" s="3" t="str">
        <f>_xlfn.XLOOKUP(E30,liste!A:A,liste!C:C,"AUTRE")</f>
        <v>Fermeture de la porte
Capteur de capteur défectueux
Câblage électrique défectueux</v>
      </c>
      <c r="I30" t="str">
        <f t="shared" si="0"/>
        <v xml:space="preserve"> - PMAF - Alarme - M340 - DEFAUT PORTE - TRAPPE SECURITE ENLEVEMENT OUVERTE -Fermeture de la porte
Capteur de capteur défectueux
Câblage électrique défectueux</v>
      </c>
    </row>
    <row r="31" spans="2:9" ht="30" x14ac:dyDescent="0.25">
      <c r="B31" t="s">
        <v>14</v>
      </c>
      <c r="C31" t="s">
        <v>10</v>
      </c>
      <c r="D31" t="s">
        <v>15</v>
      </c>
      <c r="E31" t="s">
        <v>53</v>
      </c>
      <c r="F31" t="s">
        <v>54</v>
      </c>
      <c r="G31" s="3" t="str">
        <f>_xlfn.XLOOKUP(E31,liste!A:A,liste!B:B,"AUTRE")</f>
        <v xml:space="preserve"> - Plateau coincé
 - Capteur de plateau activé trop longtemps</v>
      </c>
      <c r="H31" s="3" t="str">
        <f>_xlfn.XLOOKUP(E31,liste!A:A,liste!C:C,"AUTRE")</f>
        <v>Vérifier que aucun plateau n'est coincé
Vérifier que les capteurs de plateau fonctionne correctement et sont correctement réglé</v>
      </c>
      <c r="I31" t="str">
        <f t="shared" si="0"/>
        <v xml:space="preserve"> - PMAF - Alarme - M340 - PLATEAU COINCE - PLATEAU COINCE AVANT LIFE -Vérifier que aucun plateau n'est coincé
Vérifier que les capteurs de plateau fonctionne correctement et sont correctement réglé</v>
      </c>
    </row>
    <row r="32" spans="2:9" ht="30" x14ac:dyDescent="0.25">
      <c r="B32" t="s">
        <v>14</v>
      </c>
      <c r="C32" t="s">
        <v>10</v>
      </c>
      <c r="D32" t="s">
        <v>15</v>
      </c>
      <c r="E32" t="s">
        <v>33</v>
      </c>
      <c r="F32" t="s">
        <v>55</v>
      </c>
      <c r="G32" s="3" t="str">
        <f>_xlfn.XLOOKUP(E32,liste!A:A,liste!B:B,"AUTRE")</f>
        <v xml:space="preserve"> - Plateau dans le mauvais sens 
 - problème capteur de sens de plateau</v>
      </c>
      <c r="H32" s="3" t="str">
        <f>_xlfn.XLOOKUP(E32,liste!A:A,liste!C:C,"AUTRE")</f>
        <v>Vérifier que le plateau est dans le bon sens
Vérifier également que le capteur de sens de plateau est correctement réglé</v>
      </c>
      <c r="I32" t="str">
        <f t="shared" si="0"/>
        <v xml:space="preserve"> - PMAF - Alarme - M340 - PLATEAU MAUVAIS SENS - PLATEAU 1 DANS LE MAUVAIS SENS -Vérifier que le plateau est dans le bon sens
Vérifier également que le capteur de sens de plateau est correctement réglé</v>
      </c>
    </row>
    <row r="33" spans="2:9" ht="30" x14ac:dyDescent="0.25">
      <c r="B33" t="s">
        <v>14</v>
      </c>
      <c r="C33" t="s">
        <v>10</v>
      </c>
      <c r="D33" t="s">
        <v>15</v>
      </c>
      <c r="E33" t="s">
        <v>33</v>
      </c>
      <c r="F33" t="s">
        <v>56</v>
      </c>
      <c r="G33" s="3" t="str">
        <f>_xlfn.XLOOKUP(E33,liste!A:A,liste!B:B,"AUTRE")</f>
        <v xml:space="preserve"> - Plateau dans le mauvais sens 
 - problème capteur de sens de plateau</v>
      </c>
      <c r="H33" s="3" t="str">
        <f>_xlfn.XLOOKUP(E33,liste!A:A,liste!C:C,"AUTRE")</f>
        <v>Vérifier que le plateau est dans le bon sens
Vérifier également que le capteur de sens de plateau est correctement réglé</v>
      </c>
      <c r="I33" t="str">
        <f t="shared" si="0"/>
        <v xml:space="preserve"> - PMAF - Alarme - M340 - PLATEAU MAUVAIS SENS - PLATEAU 2 DANS LE MAUVAIS SENS -Vérifier que le plateau est dans le bon sens
Vérifier également que le capteur de sens de plateau est correctement réglé</v>
      </c>
    </row>
    <row r="34" spans="2:9" ht="45" x14ac:dyDescent="0.25">
      <c r="B34" t="s">
        <v>14</v>
      </c>
      <c r="C34" t="s">
        <v>10</v>
      </c>
      <c r="D34" t="s">
        <v>15</v>
      </c>
      <c r="E34" t="s">
        <v>12</v>
      </c>
      <c r="F34" t="s">
        <v>57</v>
      </c>
      <c r="G34" s="3" t="str">
        <f>_xlfn.XLOOKUP(E34,liste!A:A,liste!B:B,"AUTRE")</f>
        <v xml:space="preserve"> - Capteur mal aligné, mal réglé ou défectueux.
 - Problème de câblage ou de connecteur empêchant une bonne détection.</v>
      </c>
      <c r="H34" s="3" t="str">
        <f>_xlfn.XLOOKUP(E34,liste!A:A,liste!C:C,"AUTRE")</f>
        <v xml:space="preserve"> Vérifier le fonctionnement du capteur via ses voyants.
Contrôler l’alignement, le réglage ainsi que l’état du câblage et des connecteurs.</v>
      </c>
      <c r="I34" t="str">
        <f t="shared" ref="I34:I65" si="1">A34 &amp; " - " &amp; B34 &amp; " - " &amp; C34 &amp; " - " &amp; D34 &amp; " - " &amp; E34 &amp; " - " &amp; F34 &amp; " -" &amp; H34</f>
        <v xml:space="preserve"> - PMAF - Alarme - M340 - DEFAUT CAPTEUR - CAPTEURS DETECTION DE SENS MAL REGLES - Vérifier le fonctionnement du capteur via ses voyants.
Contrôler l’alignement, le réglage ainsi que l’état du câblage et des connecteurs.</v>
      </c>
    </row>
    <row r="35" spans="2:9" ht="60" x14ac:dyDescent="0.25">
      <c r="B35" t="s">
        <v>14</v>
      </c>
      <c r="C35" t="s">
        <v>10</v>
      </c>
      <c r="D35" t="s">
        <v>15</v>
      </c>
      <c r="E35" t="s">
        <v>43</v>
      </c>
      <c r="F35" t="s">
        <v>58</v>
      </c>
      <c r="G35" s="3" t="str">
        <f>_xlfn.XLOOKUP(E35,liste!A:A,liste!B:B,"AUTRE")</f>
        <v>Le convoyeur n'est pas en fonctionnement
Il y a un blocage mécanique sur l’élément ou condition non atteinte
Le variateur renvoie un code défaut</v>
      </c>
      <c r="H35" s="3" t="str">
        <f>_xlfn.XLOOKUP(E35,liste!A:A,liste!C:C,"AUTRE")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35" t="str">
        <f t="shared" si="1"/>
        <v xml:space="preserve"> - PMAF - Alarme - M340 - DEFAUT VARIATEUR - DEFAUT CONVOYEUR SORTIE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36" spans="2:9" ht="60" x14ac:dyDescent="0.25">
      <c r="B36" t="s">
        <v>14</v>
      </c>
      <c r="C36" t="s">
        <v>10</v>
      </c>
      <c r="D36" t="s">
        <v>15</v>
      </c>
      <c r="E36" t="s">
        <v>59</v>
      </c>
      <c r="F36" t="s">
        <v>60</v>
      </c>
      <c r="G36" s="3" t="str">
        <f>_xlfn.XLOOKUP(E36,liste!A:A,liste!B:B,"AUTRE")</f>
        <v xml:space="preserve">Câblage électrique endommagé / défectueux
Disjoncteur tombé ouille
</v>
      </c>
      <c r="H36" s="3" t="str">
        <f>_xlfn.XLOOKUP(E36,liste!A:A,liste!C:C,"AUTRE")</f>
        <v>Vérification qu'il n'est pas sectionné
Mesure et remplacement si nécessaire
Contrôler le circuit électrique
Vérifier montage mécanique si moteur</v>
      </c>
      <c r="I36" t="str">
        <f t="shared" si="1"/>
        <v xml:space="preserve"> - PMAF - Alarme - M340 - DEFAUT DISJONCTEUR - DEFAUT DISJONCTEUR ELECTRONIQUE -Vérification qu'il n'est pas sectionné
Mesure et remplacement si nécessaire
Contrôler le circuit électrique
Vérifier montage mécanique si moteur</v>
      </c>
    </row>
    <row r="37" spans="2:9" ht="60" x14ac:dyDescent="0.25">
      <c r="B37" t="s">
        <v>14</v>
      </c>
      <c r="C37" t="s">
        <v>10</v>
      </c>
      <c r="D37" t="s">
        <v>15</v>
      </c>
      <c r="E37" t="s">
        <v>43</v>
      </c>
      <c r="F37" t="s">
        <v>58</v>
      </c>
      <c r="G37" s="3" t="str">
        <f>_xlfn.XLOOKUP(E37,liste!A:A,liste!B:B,"AUTRE")</f>
        <v>Le convoyeur n'est pas en fonctionnement
Il y a un blocage mécanique sur l’élément ou condition non atteinte
Le variateur renvoie un code défaut</v>
      </c>
      <c r="H37" s="3" t="str">
        <f>_xlfn.XLOOKUP(E37,liste!A:A,liste!C:C,"AUTRE")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37" t="str">
        <f t="shared" si="1"/>
        <v xml:space="preserve"> - PMAF - Alarme - M340 - DEFAUT VARIATEUR - DEFAUT CONVOYEUR SORTIE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38" spans="2:9" ht="60" x14ac:dyDescent="0.25">
      <c r="B38" t="s">
        <v>14</v>
      </c>
      <c r="C38" t="s">
        <v>10</v>
      </c>
      <c r="D38" t="s">
        <v>15</v>
      </c>
      <c r="E38" t="s">
        <v>59</v>
      </c>
      <c r="F38" t="s">
        <v>61</v>
      </c>
      <c r="G38" s="3" t="str">
        <f>_xlfn.XLOOKUP(E38,liste!A:A,liste!B:B,"AUTRE")</f>
        <v xml:space="preserve">Câblage électrique endommagé / défectueux
Disjoncteur tombé ouille
</v>
      </c>
      <c r="H38" s="3" t="str">
        <f>_xlfn.XLOOKUP(E38,liste!A:A,liste!C:C,"AUTRE")</f>
        <v>Vérification qu'il n'est pas sectionné
Mesure et remplacement si nécessaire
Contrôler le circuit électrique
Vérifier montage mécanique si moteur</v>
      </c>
      <c r="I38" t="str">
        <f t="shared" si="1"/>
        <v xml:space="preserve"> - PMAF - Alarme - M340 - DEFAUT DISJONCTEUR - DEFAUT DISJONCTEUR ELECTRONIQUE ENLEVEMENT -Vérification qu'il n'est pas sectionné
Mesure et remplacement si nécessaire
Contrôler le circuit électrique
Vérifier montage mécanique si moteur</v>
      </c>
    </row>
    <row r="39" spans="2:9" ht="30" x14ac:dyDescent="0.25">
      <c r="B39" t="s">
        <v>14</v>
      </c>
      <c r="C39" t="s">
        <v>10</v>
      </c>
      <c r="D39" t="s">
        <v>15</v>
      </c>
      <c r="E39" t="s">
        <v>33</v>
      </c>
      <c r="F39" t="s">
        <v>62</v>
      </c>
      <c r="G39" s="3" t="str">
        <f>_xlfn.XLOOKUP(E39,liste!A:A,liste!B:B,"AUTRE")</f>
        <v xml:space="preserve"> - Plateau dans le mauvais sens 
 - problème capteur de sens de plateau</v>
      </c>
      <c r="H39" s="3" t="str">
        <f>_xlfn.XLOOKUP(E39,liste!A:A,liste!C:C,"AUTRE")</f>
        <v>Vérifier que le plateau est dans le bon sens
Vérifier également que le capteur de sens de plateau est correctement réglé</v>
      </c>
      <c r="I39" t="str">
        <f t="shared" si="1"/>
        <v xml:space="preserve"> - PMAF - Alarme - M340 - PLATEAU MAUVAIS SENS - PLATEAU 3 DANS LE MAUVAIS SENS -Vérifier que le plateau est dans le bon sens
Vérifier également que le capteur de sens de plateau est correctement réglé</v>
      </c>
    </row>
    <row r="40" spans="2:9" x14ac:dyDescent="0.25">
      <c r="B40" t="s">
        <v>14</v>
      </c>
      <c r="C40" t="s">
        <v>10</v>
      </c>
      <c r="D40" t="s">
        <v>15</v>
      </c>
      <c r="E40" t="s">
        <v>63</v>
      </c>
      <c r="F40" t="s">
        <v>64</v>
      </c>
      <c r="G40" s="3" t="str">
        <f>_xlfn.XLOOKUP(E40,liste!A:A,liste!B:B,"AUTRE")</f>
        <v>Redémarrage production</v>
      </c>
      <c r="H40" s="3" t="str">
        <f>_xlfn.XLOOKUP(E40,liste!A:A,liste!C:C,"AUTRE")</f>
        <v>Vidanger la machine et la ligne de production et suivre la procédure de redémarrage machien</v>
      </c>
      <c r="I40" t="str">
        <f t="shared" si="1"/>
        <v xml:space="preserve"> - PMAF - Alarme - M340 - VIDANGE - VIDANGER LA LIGNE -Vidanger la machine et la ligne de production et suivre la procédure de redémarrage machien</v>
      </c>
    </row>
    <row r="41" spans="2:9" ht="45" x14ac:dyDescent="0.25">
      <c r="B41" t="s">
        <v>14</v>
      </c>
      <c r="C41" t="s">
        <v>10</v>
      </c>
      <c r="D41" t="s">
        <v>15</v>
      </c>
      <c r="E41" s="1" t="s">
        <v>65</v>
      </c>
      <c r="F41" t="s">
        <v>66</v>
      </c>
      <c r="G41" s="3" t="str">
        <f>_xlfn.XLOOKUP(E41,liste!A:A,liste!B:B,"AUTRE")</f>
        <v>La communication machine n'est plus établie ou a été coupée</v>
      </c>
      <c r="H41" s="3" t="str">
        <f>_xlfn.XLOOKUP(E41,liste!A:A,liste!C:C,"AUTRE")</f>
        <v>Vérifier l'alimentation des automates
Vérifier le câblage de communication
Contrôler les architectures réseau</v>
      </c>
      <c r="I41" t="str">
        <f t="shared" si="1"/>
        <v xml:space="preserve"> - PMAF - Alarme - M340 - DEFAUT ESCLAVE WAGO - DEFAUT ESCLAVE WAGO SORTIE -Vérifier l'alimentation des automates
Vérifier le câblage de communication
Contrôler les architectures réseau</v>
      </c>
    </row>
    <row r="42" spans="2:9" x14ac:dyDescent="0.25">
      <c r="B42" t="s">
        <v>14</v>
      </c>
      <c r="C42" t="s">
        <v>10</v>
      </c>
      <c r="D42" t="s">
        <v>15</v>
      </c>
      <c r="E42" t="s">
        <v>67</v>
      </c>
      <c r="F42" t="s">
        <v>68</v>
      </c>
      <c r="G42" s="3" t="str">
        <f>_xlfn.XLOOKUP(E42,liste!A:A,liste!B:B,"AUTRE")</f>
        <v>Vide non démarré</v>
      </c>
      <c r="H42" s="3" t="str">
        <f>_xlfn.XLOOKUP(E42,liste!A:A,liste!C:C,"AUTRE")</f>
        <v>Vérifier que celui ci est en marche</v>
      </c>
      <c r="I42" t="str">
        <f t="shared" si="1"/>
        <v xml:space="preserve"> - PMAF - Alarme - M340 - ATTENTE VIDE - ATTENTE VIDE DEMARRE ENLEVEMENT 1 -Vérifier que celui ci est en marche</v>
      </c>
    </row>
    <row r="43" spans="2:9" x14ac:dyDescent="0.25">
      <c r="B43" t="s">
        <v>14</v>
      </c>
      <c r="C43" t="s">
        <v>10</v>
      </c>
      <c r="D43" t="s">
        <v>15</v>
      </c>
      <c r="E43" s="1" t="s">
        <v>67</v>
      </c>
      <c r="F43" t="s">
        <v>69</v>
      </c>
      <c r="G43" s="3" t="str">
        <f>_xlfn.XLOOKUP(E43,liste!A:A,liste!B:B,"AUTRE")</f>
        <v>Vide non démarré</v>
      </c>
      <c r="H43" s="3" t="str">
        <f>_xlfn.XLOOKUP(E43,liste!A:A,liste!C:C,"AUTRE")</f>
        <v>Vérifier que celui ci est en marche</v>
      </c>
      <c r="I43" t="str">
        <f t="shared" si="1"/>
        <v xml:space="preserve"> - PMAF - Alarme - M340 - ATTENTE VIDE - ATTENTE VIDE DEMARRE ENLEVEMENT 2 -Vérifier que celui ci est en marche</v>
      </c>
    </row>
    <row r="44" spans="2:9" ht="45" x14ac:dyDescent="0.25">
      <c r="B44" t="s">
        <v>14</v>
      </c>
      <c r="C44" t="s">
        <v>10</v>
      </c>
      <c r="D44" t="s">
        <v>15</v>
      </c>
      <c r="E44" s="1" t="s">
        <v>65</v>
      </c>
      <c r="F44" t="s">
        <v>70</v>
      </c>
      <c r="G44" s="3" t="str">
        <f>_xlfn.XLOOKUP(E44,liste!A:A,liste!B:B,"AUTRE")</f>
        <v>La communication machine n'est plus établie ou a été coupée</v>
      </c>
      <c r="H44" s="3" t="str">
        <f>_xlfn.XLOOKUP(E44,liste!A:A,liste!C:C,"AUTRE")</f>
        <v>Vérifier l'alimentation des automates
Vérifier le câblage de communication
Contrôler les architectures réseau</v>
      </c>
      <c r="I44" t="str">
        <f t="shared" si="1"/>
        <v xml:space="preserve"> - PMAF - Alarme - M340 - DEFAUT ESCLAVE WAGO - DEFAUT ESCLAVE WAGO ENLEVEMENT#1 -Vérifier l'alimentation des automates
Vérifier le câblage de communication
Contrôler les architectures réseau</v>
      </c>
    </row>
    <row r="45" spans="2:9" ht="45" x14ac:dyDescent="0.25">
      <c r="B45" t="s">
        <v>14</v>
      </c>
      <c r="C45" t="s">
        <v>10</v>
      </c>
      <c r="D45" t="s">
        <v>15</v>
      </c>
      <c r="E45" s="1" t="s">
        <v>65</v>
      </c>
      <c r="F45" t="s">
        <v>71</v>
      </c>
      <c r="G45" s="3" t="str">
        <f>_xlfn.XLOOKUP(E45,liste!A:A,liste!B:B,"AUTRE")</f>
        <v>La communication machine n'est plus établie ou a été coupée</v>
      </c>
      <c r="H45" s="3" t="str">
        <f>_xlfn.XLOOKUP(E45,liste!A:A,liste!C:C,"AUTRE")</f>
        <v>Vérifier l'alimentation des automates
Vérifier le câblage de communication
Contrôler les architectures réseau</v>
      </c>
      <c r="I45" t="str">
        <f t="shared" si="1"/>
        <v xml:space="preserve"> - PMAF - Alarme - M340 - DEFAUT ESCLAVE WAGO - DEFAUT ESCLAVE WAGO ENLEVEMENT#2 -Vérifier l'alimentation des automates
Vérifier le câblage de communication
Contrôler les architectures réseau</v>
      </c>
    </row>
    <row r="46" spans="2:9" ht="45" x14ac:dyDescent="0.25">
      <c r="B46" t="s">
        <v>14</v>
      </c>
      <c r="C46" t="s">
        <v>10</v>
      </c>
      <c r="D46" t="s">
        <v>15</v>
      </c>
      <c r="E46" s="1" t="s">
        <v>65</v>
      </c>
      <c r="F46" t="s">
        <v>72</v>
      </c>
      <c r="G46" s="3" t="str">
        <f>_xlfn.XLOOKUP(E46,liste!A:A,liste!B:B,"AUTRE")</f>
        <v>La communication machine n'est plus établie ou a été coupée</v>
      </c>
      <c r="H46" s="3" t="str">
        <f>_xlfn.XLOOKUP(E46,liste!A:A,liste!C:C,"AUTRE")</f>
        <v>Vérifier l'alimentation des automates
Vérifier le câblage de communication
Contrôler les architectures réseau</v>
      </c>
      <c r="I46" t="str">
        <f t="shared" si="1"/>
        <v xml:space="preserve"> - PMAF - Alarme - M340 - DEFAUT ESCLAVE WAGO - DEFAUT ESCLAVE WAGO ENTREE -Vérifier l'alimentation des automates
Vérifier le câblage de communication
Contrôler les architectures réseau</v>
      </c>
    </row>
    <row r="47" spans="2:9" ht="45" x14ac:dyDescent="0.25">
      <c r="B47" t="s">
        <v>14</v>
      </c>
      <c r="C47" t="s">
        <v>10</v>
      </c>
      <c r="D47" t="s">
        <v>15</v>
      </c>
      <c r="E47" s="1" t="s">
        <v>73</v>
      </c>
      <c r="F47" t="s">
        <v>74</v>
      </c>
      <c r="G47" s="3" t="str">
        <f>_xlfn.XLOOKUP(E47,liste!A:A,liste!B:B,"AUTRE")</f>
        <v>Pas de bit de vie détecté :
 - Mauvaise connexion à l'embase pneumatique
 -  Embase pneumatique défaillante</v>
      </c>
      <c r="H47" s="3" t="str">
        <f>_xlfn.XLOOKUP(E47,liste!A:A,liste!C:C,"AUTRE")</f>
        <v>Vérifier la connexion de l'embase pneumatique au PLC 
Vérifier le bon fonctionnement</v>
      </c>
      <c r="I47" t="str">
        <f t="shared" si="1"/>
        <v xml:space="preserve"> - PMAF - Alarme - M340 - DEFAUT ESCLAVE EMBASE PNEUMATIQUE - DEFAUT ESCLAVE EMBASE PNEUMATIQUE N1 ENLEVEMENT#1 -Vérifier la connexion de l'embase pneumatique au PLC 
Vérifier le bon fonctionnement</v>
      </c>
    </row>
    <row r="48" spans="2:9" ht="45" x14ac:dyDescent="0.25">
      <c r="B48" t="s">
        <v>14</v>
      </c>
      <c r="C48" t="s">
        <v>10</v>
      </c>
      <c r="D48" t="s">
        <v>15</v>
      </c>
      <c r="E48" s="1" t="s">
        <v>73</v>
      </c>
      <c r="F48" t="s">
        <v>75</v>
      </c>
      <c r="G48" s="3" t="str">
        <f>_xlfn.XLOOKUP(E48,liste!A:A,liste!B:B,"AUTRE")</f>
        <v>Pas de bit de vie détecté :
 - Mauvaise connexion à l'embase pneumatique
 -  Embase pneumatique défaillante</v>
      </c>
      <c r="H48" s="3" t="str">
        <f>_xlfn.XLOOKUP(E48,liste!A:A,liste!C:C,"AUTRE")</f>
        <v>Vérifier la connexion de l'embase pneumatique au PLC 
Vérifier le bon fonctionnement</v>
      </c>
      <c r="I48" t="str">
        <f t="shared" si="1"/>
        <v xml:space="preserve"> - PMAF - Alarme - M340 - DEFAUT ESCLAVE EMBASE PNEUMATIQUE - DEFAUT ESCLAVE EMBASE PNEUMATIQUE N2 ENLEVEMENT#1 -Vérifier la connexion de l'embase pneumatique au PLC 
Vérifier le bon fonctionnement</v>
      </c>
    </row>
    <row r="49" spans="2:9" ht="45" x14ac:dyDescent="0.25">
      <c r="B49" t="s">
        <v>14</v>
      </c>
      <c r="C49" t="s">
        <v>10</v>
      </c>
      <c r="D49" t="s">
        <v>15</v>
      </c>
      <c r="E49" s="1" t="s">
        <v>73</v>
      </c>
      <c r="F49" t="s">
        <v>75</v>
      </c>
      <c r="G49" s="3" t="str">
        <f>_xlfn.XLOOKUP(E49,liste!A:A,liste!B:B,"AUTRE")</f>
        <v>Pas de bit de vie détecté :
 - Mauvaise connexion à l'embase pneumatique
 -  Embase pneumatique défaillante</v>
      </c>
      <c r="H49" s="3" t="str">
        <f>_xlfn.XLOOKUP(E49,liste!A:A,liste!C:C,"AUTRE")</f>
        <v>Vérifier la connexion de l'embase pneumatique au PLC 
Vérifier le bon fonctionnement</v>
      </c>
      <c r="I49" t="str">
        <f t="shared" si="1"/>
        <v xml:space="preserve"> - PMAF - Alarme - M340 - DEFAUT ESCLAVE EMBASE PNEUMATIQUE - DEFAUT ESCLAVE EMBASE PNEUMATIQUE N2 ENLEVEMENT#1 -Vérifier la connexion de l'embase pneumatique au PLC 
Vérifier le bon fonctionnement</v>
      </c>
    </row>
    <row r="50" spans="2:9" ht="45" x14ac:dyDescent="0.25">
      <c r="B50" t="s">
        <v>14</v>
      </c>
      <c r="C50" t="s">
        <v>10</v>
      </c>
      <c r="D50" t="s">
        <v>15</v>
      </c>
      <c r="E50" s="1" t="s">
        <v>73</v>
      </c>
      <c r="F50" t="s">
        <v>76</v>
      </c>
      <c r="G50" s="3" t="str">
        <f>_xlfn.XLOOKUP(E50,liste!A:A,liste!B:B,"AUTRE")</f>
        <v>Pas de bit de vie détecté :
 - Mauvaise connexion à l'embase pneumatique
 -  Embase pneumatique défaillante</v>
      </c>
      <c r="H50" s="3" t="str">
        <f>_xlfn.XLOOKUP(E50,liste!A:A,liste!C:C,"AUTRE")</f>
        <v>Vérifier la connexion de l'embase pneumatique au PLC 
Vérifier le bon fonctionnement</v>
      </c>
      <c r="I50" t="str">
        <f t="shared" si="1"/>
        <v xml:space="preserve"> - PMAF - Alarme - M340 - DEFAUT ESCLAVE EMBASE PNEUMATIQUE - DEFAUT ESCLAVE EMBASE PNEUMATIQUE N1 ENLEVEMENT#2 -Vérifier la connexion de l'embase pneumatique au PLC 
Vérifier le bon fonctionnement</v>
      </c>
    </row>
    <row r="51" spans="2:9" ht="45" x14ac:dyDescent="0.25">
      <c r="B51" t="s">
        <v>14</v>
      </c>
      <c r="C51" t="s">
        <v>10</v>
      </c>
      <c r="D51" t="s">
        <v>15</v>
      </c>
      <c r="E51" s="1" t="s">
        <v>73</v>
      </c>
      <c r="F51" t="s">
        <v>77</v>
      </c>
      <c r="G51" s="3" t="str">
        <f>_xlfn.XLOOKUP(E51,liste!A:A,liste!B:B,"AUTRE")</f>
        <v>Pas de bit de vie détecté :
 - Mauvaise connexion à l'embase pneumatique
 -  Embase pneumatique défaillante</v>
      </c>
      <c r="H51" s="3" t="str">
        <f>_xlfn.XLOOKUP(E51,liste!A:A,liste!C:C,"AUTRE")</f>
        <v>Vérifier la connexion de l'embase pneumatique au PLC 
Vérifier le bon fonctionnement</v>
      </c>
      <c r="I51" t="str">
        <f t="shared" si="1"/>
        <v xml:space="preserve"> - PMAF - Alarme - M340 - DEFAUT ESCLAVE EMBASE PNEUMATIQUE - DEFAUT ESCLAVE EMBASE PNEUMATIQUE N2 ENLEVEMENT#2 -Vérifier la connexion de l'embase pneumatique au PLC 
Vérifier le bon fonctionnement</v>
      </c>
    </row>
    <row r="52" spans="2:9" ht="45" x14ac:dyDescent="0.25">
      <c r="B52" t="s">
        <v>14</v>
      </c>
      <c r="C52" t="s">
        <v>10</v>
      </c>
      <c r="D52" t="s">
        <v>15</v>
      </c>
      <c r="E52" s="1" t="s">
        <v>73</v>
      </c>
      <c r="F52" t="s">
        <v>78</v>
      </c>
      <c r="G52" s="3" t="str">
        <f>_xlfn.XLOOKUP(E52,liste!A:A,liste!B:B,"AUTRE")</f>
        <v>Pas de bit de vie détecté :
 - Mauvaise connexion à l'embase pneumatique
 -  Embase pneumatique défaillante</v>
      </c>
      <c r="H52" s="3" t="str">
        <f>_xlfn.XLOOKUP(E52,liste!A:A,liste!C:C,"AUTRE")</f>
        <v>Vérifier la connexion de l'embase pneumatique au PLC 
Vérifier le bon fonctionnement</v>
      </c>
      <c r="I52" t="str">
        <f t="shared" si="1"/>
        <v xml:space="preserve"> - PMAF - Alarme - M340 - DEFAUT ESCLAVE EMBASE PNEUMATIQUE - DEFAUT ESCLAVE EMBASE PNEUMATIQUE N3 ENLEVEMENT#1 -Vérifier la connexion de l'embase pneumatique au PLC 
Vérifier le bon fonctionnement</v>
      </c>
    </row>
    <row r="53" spans="2:9" ht="45" x14ac:dyDescent="0.25">
      <c r="B53" t="s">
        <v>14</v>
      </c>
      <c r="C53" t="s">
        <v>10</v>
      </c>
      <c r="D53" t="s">
        <v>15</v>
      </c>
      <c r="E53" s="1" t="s">
        <v>73</v>
      </c>
      <c r="F53" t="s">
        <v>79</v>
      </c>
      <c r="G53" s="3" t="str">
        <f>_xlfn.XLOOKUP(E53,liste!A:A,liste!B:B,"AUTRE")</f>
        <v>Pas de bit de vie détecté :
 - Mauvaise connexion à l'embase pneumatique
 -  Embase pneumatique défaillante</v>
      </c>
      <c r="H53" s="3" t="str">
        <f>_xlfn.XLOOKUP(E53,liste!A:A,liste!C:C,"AUTRE")</f>
        <v>Vérifier la connexion de l'embase pneumatique au PLC 
Vérifier le bon fonctionnement</v>
      </c>
      <c r="I53" t="str">
        <f t="shared" si="1"/>
        <v xml:space="preserve"> - PMAF - Alarme - M340 - DEFAUT ESCLAVE EMBASE PNEUMATIQUE - DEFAUT ESCLAVE EMBASE PNEUMATIQUE N3 ENLEVEMENT#2 -Vérifier la connexion de l'embase pneumatique au PLC 
Vérifier le bon fonctionnement</v>
      </c>
    </row>
    <row r="54" spans="2:9" ht="45" x14ac:dyDescent="0.25">
      <c r="B54" t="s">
        <v>14</v>
      </c>
      <c r="C54" t="s">
        <v>10</v>
      </c>
      <c r="D54" t="s">
        <v>15</v>
      </c>
      <c r="E54" s="1" t="s">
        <v>73</v>
      </c>
      <c r="F54" t="s">
        <v>77</v>
      </c>
      <c r="G54" s="3" t="str">
        <f>_xlfn.XLOOKUP(E54,liste!A:A,liste!B:B,"AUTRE")</f>
        <v>Pas de bit de vie détecté :
 - Mauvaise connexion à l'embase pneumatique
 -  Embase pneumatique défaillante</v>
      </c>
      <c r="H54" s="3" t="str">
        <f>_xlfn.XLOOKUP(E54,liste!A:A,liste!C:C,"AUTRE")</f>
        <v>Vérifier la connexion de l'embase pneumatique au PLC 
Vérifier le bon fonctionnement</v>
      </c>
      <c r="I54" t="str">
        <f t="shared" si="1"/>
        <v xml:space="preserve"> - PMAF - Alarme - M340 - DEFAUT ESCLAVE EMBASE PNEUMATIQUE - DEFAUT ESCLAVE EMBASE PNEUMATIQUE N2 ENLEVEMENT#2 -Vérifier la connexion de l'embase pneumatique au PLC 
Vérifier le bon fonctionnement</v>
      </c>
    </row>
    <row r="55" spans="2:9" x14ac:dyDescent="0.25">
      <c r="B55" t="s">
        <v>14</v>
      </c>
      <c r="C55" t="s">
        <v>10</v>
      </c>
      <c r="D55" t="s">
        <v>15</v>
      </c>
      <c r="E55" s="1" t="s">
        <v>67</v>
      </c>
      <c r="F55" t="s">
        <v>80</v>
      </c>
      <c r="G55" s="3" t="str">
        <f>_xlfn.XLOOKUP(E55,liste!A:A,liste!B:B,"AUTRE")</f>
        <v>Vide non démarré</v>
      </c>
      <c r="H55" s="3" t="str">
        <f>_xlfn.XLOOKUP(E55,liste!A:A,liste!C:C,"AUTRE")</f>
        <v>Vérifier que celui ci est en marche</v>
      </c>
      <c r="I55" t="str">
        <f t="shared" si="1"/>
        <v xml:space="preserve"> - PMAF - Alarme - M340 - ATTENTE VIDE - ATTENTE VALOROEUF DEMARRE ENLEVEMENT 1 -Vérifier que celui ci est en marche</v>
      </c>
    </row>
    <row r="56" spans="2:9" x14ac:dyDescent="0.25">
      <c r="B56" t="s">
        <v>14</v>
      </c>
      <c r="C56" t="s">
        <v>10</v>
      </c>
      <c r="D56" t="s">
        <v>15</v>
      </c>
      <c r="E56" s="1" t="s">
        <v>67</v>
      </c>
      <c r="F56" t="s">
        <v>81</v>
      </c>
      <c r="G56" s="3" t="str">
        <f>_xlfn.XLOOKUP(E56,liste!A:A,liste!B:B,"AUTRE")</f>
        <v>Vide non démarré</v>
      </c>
      <c r="H56" s="3" t="str">
        <f>_xlfn.XLOOKUP(E56,liste!A:A,liste!C:C,"AUTRE")</f>
        <v>Vérifier que celui ci est en marche</v>
      </c>
      <c r="I56" t="str">
        <f t="shared" si="1"/>
        <v xml:space="preserve"> - PMAF - Alarme - M340 - ATTENTE VIDE - ATTENTE VALOROEUF DEMARRE ENLEVEMENT 2 -Vérifier que celui ci est en marche</v>
      </c>
    </row>
    <row r="57" spans="2:9" x14ac:dyDescent="0.25">
      <c r="B57" t="s">
        <v>14</v>
      </c>
      <c r="C57" t="s">
        <v>10</v>
      </c>
      <c r="D57" t="s">
        <v>15</v>
      </c>
      <c r="E57" s="1" t="s">
        <v>67</v>
      </c>
      <c r="F57" t="s">
        <v>82</v>
      </c>
      <c r="G57" s="3" t="str">
        <f>_xlfn.XLOOKUP(E57,liste!A:A,liste!B:B,"AUTRE")</f>
        <v>Vide non démarré</v>
      </c>
      <c r="H57" s="3" t="str">
        <f>_xlfn.XLOOKUP(E57,liste!A:A,liste!C:C,"AUTRE")</f>
        <v>Vérifier que celui ci est en marche</v>
      </c>
      <c r="I57" t="str">
        <f t="shared" si="1"/>
        <v xml:space="preserve"> - PMAF - Alarme - M340 - ATTENTE VIDE - ATTENTE AUTORISATION MARCHE CONVOYEUR ŒUFS CLAIRS ENLEVEMENT 1 -Vérifier que celui ci est en marche</v>
      </c>
    </row>
    <row r="58" spans="2:9" x14ac:dyDescent="0.25">
      <c r="B58" t="s">
        <v>14</v>
      </c>
      <c r="C58" t="s">
        <v>10</v>
      </c>
      <c r="D58" t="s">
        <v>15</v>
      </c>
      <c r="E58" s="1" t="s">
        <v>67</v>
      </c>
      <c r="F58" t="s">
        <v>83</v>
      </c>
      <c r="G58" s="3" t="str">
        <f>_xlfn.XLOOKUP(E58,liste!A:A,liste!B:B,"AUTRE")</f>
        <v>Vide non démarré</v>
      </c>
      <c r="H58" s="3" t="str">
        <f>_xlfn.XLOOKUP(E58,liste!A:A,liste!C:C,"AUTRE")</f>
        <v>Vérifier que celui ci est en marche</v>
      </c>
      <c r="I58" t="str">
        <f t="shared" si="1"/>
        <v xml:space="preserve"> - PMAF - Alarme - M340 - ATTENTE VIDE - ATTENTE AUTORISATION MARCHE CONVOYEUR ŒUFS CLAIRS ENLEVEMENT 2 -Vérifier que celui ci est en marche</v>
      </c>
    </row>
    <row r="59" spans="2:9" ht="45" x14ac:dyDescent="0.25">
      <c r="B59" t="s">
        <v>14</v>
      </c>
      <c r="C59" t="s">
        <v>10</v>
      </c>
      <c r="D59" t="s">
        <v>15</v>
      </c>
      <c r="E59" t="s">
        <v>84</v>
      </c>
      <c r="F59" t="s">
        <v>85</v>
      </c>
      <c r="G59" s="3" t="str">
        <f>_xlfn.XLOOKUP(E59,liste!A:A,liste!B:B,"AUTRE")</f>
        <v>Le codeur ne s'incrémente pas alors que le moteur tourne</v>
      </c>
      <c r="H59" s="3" t="str">
        <f>_xlfn.XLOOKUP(E59,liste!A:A,liste!C:C,"AUTRE")</f>
        <v>Vérifier que le codeur est bien serré et tourne bien avec l'arbre moteur
 Si oui : Changer le codeur 
 Si non : resserrer le codeur sur l'arbre</v>
      </c>
      <c r="I59" t="str">
        <f t="shared" si="1"/>
        <v xml:space="preserve"> - PMAF - Alarme - M340 - DEFAUT CODEUR - DEFAUT CODEUR ENLEVEMENT 1 -Vérifier que le codeur est bien serré et tourne bien avec l'arbre moteur
 Si oui : Changer le codeur 
 Si non : resserrer le codeur sur l'arbre</v>
      </c>
    </row>
    <row r="60" spans="2:9" x14ac:dyDescent="0.25">
      <c r="B60" t="s">
        <v>14</v>
      </c>
      <c r="C60" t="s">
        <v>10</v>
      </c>
      <c r="D60" t="s">
        <v>15</v>
      </c>
      <c r="E60" t="s">
        <v>41</v>
      </c>
      <c r="F60" t="s">
        <v>86</v>
      </c>
      <c r="G60" s="3" t="str">
        <f>_xlfn.XLOOKUP(E60,liste!A:A,liste!B:B,"AUTRE")</f>
        <v>Au moins un élément de sécurité est enclenché.</v>
      </c>
      <c r="H60" s="3" t="str">
        <f>_xlfn.XLOOKUP(E60,liste!A:A,liste!C:C,"AUTRE")</f>
        <v>Vérifier les arrêt d’urgence et suivre la procédure de réarmement.</v>
      </c>
      <c r="I60" t="str">
        <f t="shared" si="1"/>
        <v xml:space="preserve"> - PMAF - Alarme - M340 - DEFAUT ARRET D'URGENCE - ARRET D'URGENCE ENCLENCHE -Vérifier les arrêt d’urgence et suivre la procédure de réarmement.</v>
      </c>
    </row>
    <row r="61" spans="2:9" ht="45" x14ac:dyDescent="0.25">
      <c r="B61" t="s">
        <v>14</v>
      </c>
      <c r="C61" t="s">
        <v>10</v>
      </c>
      <c r="D61" t="s">
        <v>15</v>
      </c>
      <c r="E61" s="1" t="s">
        <v>87</v>
      </c>
      <c r="F61" t="s">
        <v>87</v>
      </c>
      <c r="G61" s="3" t="str">
        <f>_xlfn.XLOOKUP(E61,liste!A:A,liste!B:B,"AUTRE")</f>
        <v>Pression d'air non suffisante
Capteur de pression HS ou mal réglé</v>
      </c>
      <c r="H61" s="3" t="str">
        <f>_xlfn.XLOOKUP(E61,liste!A:A,liste!C:C,"AUTRE")</f>
        <v>Vérification de la nourrice d'air
Pression de l'air doit être aux paramètres définis lors de la mise en service
Pas de fuite</v>
      </c>
      <c r="I61" t="str">
        <f t="shared" si="1"/>
        <v xml:space="preserve"> - PMAF - Alarme - M340 - DEFAUT PRESSION D'AIR - DEFAUT PRESSION D'AIR -Vérification de la nourrice d'air
Pression de l'air doit être aux paramètres définis lors de la mise en service
Pas de fuite</v>
      </c>
    </row>
    <row r="62" spans="2:9" ht="60" x14ac:dyDescent="0.25">
      <c r="B62" t="s">
        <v>14</v>
      </c>
      <c r="C62" t="s">
        <v>10</v>
      </c>
      <c r="D62" t="s">
        <v>15</v>
      </c>
      <c r="E62" t="s">
        <v>43</v>
      </c>
      <c r="F62" t="s">
        <v>88</v>
      </c>
      <c r="G62" s="3" t="str">
        <f>_xlfn.XLOOKUP(E62,liste!A:A,liste!B:B,"AUTRE")</f>
        <v>Le convoyeur n'est pas en fonctionnement
Il y a un blocage mécanique sur l’élément ou condition non atteinte
Le variateur renvoie un code défaut</v>
      </c>
      <c r="H62" s="3" t="str">
        <f>_xlfn.XLOOKUP(E62,liste!A:A,liste!C:C,"AUTRE")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62" t="str">
        <f t="shared" si="1"/>
        <v xml:space="preserve"> - PMAF - Alarme - M340 - DEFAUT VARIATEUR - DEFAUT CONVOYEUR SOUS MIRAGE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63" spans="2:9" ht="60" x14ac:dyDescent="0.25">
      <c r="B63" t="s">
        <v>14</v>
      </c>
      <c r="C63" t="s">
        <v>10</v>
      </c>
      <c r="D63" t="s">
        <v>15</v>
      </c>
      <c r="E63" t="s">
        <v>30</v>
      </c>
      <c r="F63" t="s">
        <v>89</v>
      </c>
      <c r="G63" s="3" t="str">
        <f>_xlfn.XLOOKUP(E63,liste!A:A,liste!B:B,"AUTRE")</f>
        <v>Crash ou mauvais démarrage de l'application PC :
 - Mauvaise connexion du PC à l'automate
 - Mauvaise connexion des caméra à l'automate
 - Problème PC (Saturation mémoire, crash ...)</v>
      </c>
      <c r="H63" s="3" t="str">
        <f>_xlfn.XLOOKUP(E63,liste!A:A,liste!C:C,"AUTRE")</f>
        <v xml:space="preserve"> Vérifier connexion des cables entre le PC, Camera et automate
 Redémarrer la machine</v>
      </c>
      <c r="I63" t="str">
        <f t="shared" si="1"/>
        <v xml:space="preserve"> - PMAF - Alarme - M340 - DEFAUT CR PC_PLC - DEFAUT RETOUR CR PC_PLC ACQUISITION - Vérifier connexion des cables entre le PC, Camera et automate
 Redémarrer la machine</v>
      </c>
    </row>
    <row r="64" spans="2:9" ht="60" x14ac:dyDescent="0.25">
      <c r="B64" t="s">
        <v>14</v>
      </c>
      <c r="C64" t="s">
        <v>10</v>
      </c>
      <c r="D64" t="s">
        <v>15</v>
      </c>
      <c r="E64" t="s">
        <v>43</v>
      </c>
      <c r="F64" t="s">
        <v>90</v>
      </c>
      <c r="G64" s="3" t="str">
        <f>_xlfn.XLOOKUP(E64,liste!A:A,liste!B:B,"AUTRE")</f>
        <v>Le convoyeur n'est pas en fonctionnement
Il y a un blocage mécanique sur l’élément ou condition non atteinte
Le variateur renvoie un code défaut</v>
      </c>
      <c r="H64" s="3" t="str">
        <f>_xlfn.XLOOKUP(E64,liste!A:A,liste!C:C,"AUTRE")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64" t="str">
        <f t="shared" si="1"/>
        <v xml:space="preserve"> - PMAF - Alarme - M340 - DEFAUT VARIATEUR - DEFAUT CONVOYEUR ENLEVEMENT#1 -Vérifier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65" spans="2:9" ht="45" x14ac:dyDescent="0.25">
      <c r="B65" t="s">
        <v>14</v>
      </c>
      <c r="C65" t="s">
        <v>10</v>
      </c>
      <c r="D65" t="s">
        <v>15</v>
      </c>
      <c r="E65" t="s">
        <v>84</v>
      </c>
      <c r="F65" t="s">
        <v>91</v>
      </c>
      <c r="G65" s="3" t="str">
        <f>_xlfn.XLOOKUP(E65,liste!A:A,liste!B:B,"AUTRE")</f>
        <v>Le codeur ne s'incrémente pas alors que le moteur tourne</v>
      </c>
      <c r="H65" s="3" t="str">
        <f>_xlfn.XLOOKUP(E65,liste!A:A,liste!C:C,"AUTRE")</f>
        <v>Vérifier que le codeur est bien serré et tourne bien avec l'arbre moteur
 Si oui : Changer le codeur 
 Si non : resserrer le codeur sur l'arbre</v>
      </c>
      <c r="I65" t="str">
        <f t="shared" si="1"/>
        <v xml:space="preserve"> - PMAF - Alarme - M340 - DEFAUT CODEUR - DEFAUT CODEUR MIRAGE -Vérifier que le codeur est bien serré et tourne bien avec l'arbre moteur
 Si oui : Changer le codeur 
 Si non : resserrer le codeur sur l'arbre</v>
      </c>
    </row>
    <row r="66" spans="2:9" ht="60" x14ac:dyDescent="0.25">
      <c r="B66" t="s">
        <v>14</v>
      </c>
      <c r="C66" t="s">
        <v>10</v>
      </c>
      <c r="D66" t="s">
        <v>15</v>
      </c>
      <c r="E66" t="s">
        <v>43</v>
      </c>
      <c r="F66" t="s">
        <v>92</v>
      </c>
      <c r="G66" s="3" t="str">
        <f>_xlfn.XLOOKUP(E66,liste!A:A,liste!B:B,"AUTRE")</f>
        <v>Le convoyeur n'est pas en fonctionnement
Il y a un blocage mécanique sur l’élément ou condition non atteinte
Le variateur renvoie un code défaut</v>
      </c>
      <c r="H66" s="3" t="str">
        <f>_xlfn.XLOOKUP(E66,liste!A:A,liste!C:C,"AUTRE")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66" t="str">
        <f t="shared" ref="I66:I90" si="2">A66 &amp; " - " &amp; B66 &amp; " - " &amp; C66 &amp; " - " &amp; D66 &amp; " - " &amp; E66 &amp; " - " &amp; F66 &amp; " -" &amp; H66</f>
        <v xml:space="preserve"> - PMAF - Alarme - M340 - DEFAUT VARIATEUR - DEFAUT AXE ENLEVEMENT#1 -Vérifier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67" spans="2:9" ht="45" x14ac:dyDescent="0.25">
      <c r="B67" t="s">
        <v>14</v>
      </c>
      <c r="C67" t="s">
        <v>10</v>
      </c>
      <c r="D67" t="s">
        <v>15</v>
      </c>
      <c r="E67" t="s">
        <v>93</v>
      </c>
      <c r="F67" t="s">
        <v>94</v>
      </c>
      <c r="G67" s="3" t="str">
        <f>_xlfn.XLOOKUP(E67,liste!A:A,liste!B:B,"AUTRE")</f>
        <v>Le retour marche n’est pas renvoyé.
Il y a un blocage mécanique sur l’élément.</v>
      </c>
      <c r="H67" s="3" t="str">
        <f>_xlfn.XLOOKUP(E67,liste!A:A,liste!C:C,"AUTRE")</f>
        <v>Vérifier le retour de marche du moteur.
Contrôler le circuit électrique.
Vérifier le montage mécanique.</v>
      </c>
      <c r="I67" t="str">
        <f t="shared" si="2"/>
        <v xml:space="preserve"> - PMAF - Alarme - M340 - DEFAUT POMPE - DEFAUT POMPE DE VIDE ENLEVEMENT#1 -Vérifier le retour de marche du moteur.
Contrôler le circuit électrique.
Vérifier le montage mécanique.</v>
      </c>
    </row>
    <row r="68" spans="2:9" ht="60" x14ac:dyDescent="0.25">
      <c r="B68" t="s">
        <v>14</v>
      </c>
      <c r="C68" t="s">
        <v>10</v>
      </c>
      <c r="D68" t="s">
        <v>15</v>
      </c>
      <c r="E68" t="s">
        <v>43</v>
      </c>
      <c r="F68" t="s">
        <v>95</v>
      </c>
      <c r="G68" s="3" t="str">
        <f>_xlfn.XLOOKUP(E68,liste!A:A,liste!B:B,"AUTRE")</f>
        <v>Le convoyeur n'est pas en fonctionnement
Il y a un blocage mécanique sur l’élément ou condition non atteinte
Le variateur renvoie un code défaut</v>
      </c>
      <c r="H68" s="3" t="str">
        <f>_xlfn.XLOOKUP(E68,liste!A:A,liste!C:C,"AUTRE")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68" t="str">
        <f t="shared" si="2"/>
        <v xml:space="preserve"> - PMAF - Alarme - M340 - DEFAUT VARIATEUR - DEFAUT CONVOYEUR DE DEPOSE OEUFS CLAIRS#1 -Vérifier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69" spans="2:9" ht="30" x14ac:dyDescent="0.25">
      <c r="B69" t="s">
        <v>14</v>
      </c>
      <c r="C69" t="s">
        <v>10</v>
      </c>
      <c r="D69" t="s">
        <v>15</v>
      </c>
      <c r="E69" t="s">
        <v>33</v>
      </c>
      <c r="F69" t="s">
        <v>96</v>
      </c>
      <c r="G69" s="3" t="str">
        <f>_xlfn.XLOOKUP(E69,liste!A:A,liste!B:B,"AUTRE")</f>
        <v xml:space="preserve"> - Plateau dans le mauvais sens 
 - problème capteur de sens de plateau</v>
      </c>
      <c r="H69" s="3" t="str">
        <f>_xlfn.XLOOKUP(E69,liste!A:A,liste!C:C,"AUTRE")</f>
        <v>Vérifier que le plateau est dans le bon sens
Vérifier également que le capteur de sens de plateau est correctement réglé</v>
      </c>
      <c r="I69" t="str">
        <f t="shared" si="2"/>
        <v xml:space="preserve"> - PMAF - Alarme - M340 - PLATEAU MAUVAIS SENS - DEFAUT SENS PLATEAU -Vérifier que le plateau est dans le bon sens
Vérifier également que le capteur de sens de plateau est correctement réglé</v>
      </c>
    </row>
    <row r="70" spans="2:9" x14ac:dyDescent="0.25">
      <c r="B70" t="s">
        <v>14</v>
      </c>
      <c r="C70" t="s">
        <v>10</v>
      </c>
      <c r="D70" t="s">
        <v>15</v>
      </c>
      <c r="E70" s="1" t="s">
        <v>37</v>
      </c>
      <c r="F70" t="s">
        <v>97</v>
      </c>
      <c r="G70" s="3" t="str">
        <f>_xlfn.XLOOKUP(E70,liste!A:A,liste!B:B,"AUTRE")</f>
        <v xml:space="preserve"> - L'équipement concerné est passé en mode batterie</v>
      </c>
      <c r="H70" s="3" t="str">
        <f>_xlfn.XLOOKUP(E70,liste!A:A,liste!C:C,"AUTRE")</f>
        <v>Vérifier la bonne alimentation de l'équipement.</v>
      </c>
      <c r="I70" t="str">
        <f t="shared" si="2"/>
        <v xml:space="preserve"> - PMAF - Alarme - M340 - DEFAUT COUPURE ALIMENTATION - DEFAUT COUPURE ALIMENTATION SUR MIRAGE -Vérifier la bonne alimentation de l'équipement.</v>
      </c>
    </row>
    <row r="71" spans="2:9" ht="45" x14ac:dyDescent="0.25">
      <c r="B71" t="s">
        <v>14</v>
      </c>
      <c r="C71" t="s">
        <v>10</v>
      </c>
      <c r="D71" t="s">
        <v>15</v>
      </c>
      <c r="E71" t="s">
        <v>12</v>
      </c>
      <c r="F71" t="s">
        <v>98</v>
      </c>
      <c r="G71" s="3" t="str">
        <f>_xlfn.XLOOKUP(E71,liste!A:A,liste!B:B,"AUTRE")</f>
        <v xml:space="preserve"> - Capteur mal aligné, mal réglé ou défectueux.
 - Problème de câblage ou de connecteur empêchant une bonne détection.</v>
      </c>
      <c r="H71" s="3" t="str">
        <f>_xlfn.XLOOKUP(E71,liste!A:A,liste!C:C,"AUTRE")</f>
        <v xml:space="preserve"> Vérifier le fonctionnement du capteur via ses voyants.
Contrôler l’alignement, le réglage ainsi que l’état du câblage et des connecteurs.</v>
      </c>
      <c r="I71" t="str">
        <f t="shared" si="2"/>
        <v xml:space="preserve"> - PMAF - Alarme - M340 - DEFAUT CAPTEUR - DEFAUT DETECTION PLATEAU SOUS MIRAGE - Vérifier le fonctionnement du capteur via ses voyants.
Contrôler l’alignement, le réglage ainsi que l’état du câblage et des connecteurs.</v>
      </c>
    </row>
    <row r="72" spans="2:9" ht="45" x14ac:dyDescent="0.25">
      <c r="B72" t="s">
        <v>14</v>
      </c>
      <c r="C72" t="s">
        <v>10</v>
      </c>
      <c r="D72" t="s">
        <v>15</v>
      </c>
      <c r="E72" t="s">
        <v>51</v>
      </c>
      <c r="F72" t="s">
        <v>99</v>
      </c>
      <c r="G72" s="3" t="str">
        <f>_xlfn.XLOOKUP(E72,liste!A:A,liste!B:B,"AUTRE")</f>
        <v>La porte n'est pas fermée</v>
      </c>
      <c r="H72" s="3" t="str">
        <f>_xlfn.XLOOKUP(E72,liste!A:A,liste!C:C,"AUTRE")</f>
        <v>Fermeture de la porte
Capteur de capteur défectueux
Câblage électrique défectueux</v>
      </c>
      <c r="I72" t="str">
        <f t="shared" si="2"/>
        <v xml:space="preserve"> - PMAF - Alarme - M340 - DEFAUT PORTE - PORTES OUVERTES -Fermeture de la porte
Capteur de capteur défectueux
Câblage électrique défectueux</v>
      </c>
    </row>
    <row r="73" spans="2:9" x14ac:dyDescent="0.25">
      <c r="B73" t="s">
        <v>14</v>
      </c>
      <c r="C73" t="s">
        <v>10</v>
      </c>
      <c r="D73" t="s">
        <v>15</v>
      </c>
      <c r="E73" t="s">
        <v>100</v>
      </c>
      <c r="F73" t="s">
        <v>100</v>
      </c>
      <c r="G73" s="3" t="str">
        <f>_xlfn.XLOOKUP(E73,liste!A:A,liste!B:B,"AUTRE")</f>
        <v>Capteur parafoudre enclenché</v>
      </c>
      <c r="H73" s="3" t="str">
        <f>_xlfn.XLOOKUP(E73,liste!A:A,liste!C:C,"AUTRE")</f>
        <v>Vérification du capteur de Parafoudre</v>
      </c>
      <c r="I73" t="str">
        <f t="shared" si="2"/>
        <v xml:space="preserve"> - PMAF - Alarme - M340 - DEFAUT PARAFOUDRE - DEFAUT PARAFOUDRE -Vérification du capteur de Parafoudre</v>
      </c>
    </row>
    <row r="74" spans="2:9" ht="60" x14ac:dyDescent="0.25">
      <c r="B74" t="s">
        <v>14</v>
      </c>
      <c r="C74" t="s">
        <v>10</v>
      </c>
      <c r="D74" t="s">
        <v>15</v>
      </c>
      <c r="E74" t="s">
        <v>101</v>
      </c>
      <c r="F74" t="s">
        <v>102</v>
      </c>
      <c r="G74" s="3" t="str">
        <f>_xlfn.XLOOKUP(E74,liste!A:A,liste!B:B,"AUTRE")</f>
        <v>Glissement des plateaux sur le convoyage</v>
      </c>
      <c r="H74" s="3" t="str">
        <f>_xlfn.XLOOKUP(E74,liste!A:A,liste!C:C,"AUTRE")</f>
        <v>Plateau défectueux
Courroie desserrée
Guide du plateau trop serré
Vérifier le bon fonctionnement des capteurs du plateau</v>
      </c>
      <c r="I74" t="str">
        <f t="shared" si="2"/>
        <v xml:space="preserve"> - PMAF - Alarme - M340 - DEFAUT GLISSEMENT - DEFAUT GLISSEMENT PLATEAU -Plateau défectueux
Courroie desserrée
Guide du plateau trop serré
Vérifier le bon fonctionnement des capteurs du plateau</v>
      </c>
    </row>
    <row r="75" spans="2:9" ht="30" x14ac:dyDescent="0.25">
      <c r="B75" t="s">
        <v>14</v>
      </c>
      <c r="C75" t="s">
        <v>10</v>
      </c>
      <c r="D75" t="s">
        <v>15</v>
      </c>
      <c r="E75" t="s">
        <v>35</v>
      </c>
      <c r="F75" t="s">
        <v>103</v>
      </c>
      <c r="G75" s="3" t="str">
        <f>_xlfn.XLOOKUP(E75,liste!A:A,liste!B:B,"AUTRE")</f>
        <v xml:space="preserve">  -Onduleur en défaut</v>
      </c>
      <c r="H75" s="3" t="str">
        <f>_xlfn.XLOOKUP(E75,liste!A:A,liste!C:C,"AUTRE")</f>
        <v xml:space="preserve"> Relever le défaut affiché sur l'onduleur
 Se référer à  la documentation de celui ci pour résoudre le défaut</v>
      </c>
      <c r="I75" t="str">
        <f t="shared" si="2"/>
        <v xml:space="preserve"> - PMAF - Alarme - M340 - DEFAUT ONDULEUR - DEFAUT ONDULEUR SUR MIRAGE - Relever le défaut affiché sur l'onduleur
 Se référer à  la documentation de celui ci pour résoudre le défaut</v>
      </c>
    </row>
    <row r="76" spans="2:9" ht="45" x14ac:dyDescent="0.25">
      <c r="B76" t="s">
        <v>14</v>
      </c>
      <c r="C76" t="s">
        <v>10</v>
      </c>
      <c r="D76" t="s">
        <v>15</v>
      </c>
      <c r="E76" t="s">
        <v>104</v>
      </c>
      <c r="F76" t="s">
        <v>105</v>
      </c>
      <c r="G76" s="3" t="str">
        <f>_xlfn.XLOOKUP(E76,liste!A:A,liste!B:B,"AUTRE")</f>
        <v>La communication avec le variateur n'est plus établie ou a été coupée</v>
      </c>
      <c r="H76" s="3" t="str">
        <f>_xlfn.XLOOKUP(E76,liste!A:A,liste!C:C,"AUTRE")</f>
        <v>Vérifier l'alimentation des variateur
Vérifier le câblage de communication
Contrôler les architectures réseau</v>
      </c>
      <c r="I76" t="str">
        <f t="shared" si="2"/>
        <v xml:space="preserve"> - PMAF - Alarme - M340 - DEFAUT CONTROLE RETOUR BRUSHLESS - DEFAUT CONTROLE RETOUR BRUSHLESS ENLEVEMENT 1 -Vérifier l'alimentation des variateur
Vérifier le câblage de communication
Contrôler les architectures réseau</v>
      </c>
    </row>
    <row r="77" spans="2:9" x14ac:dyDescent="0.25">
      <c r="B77" t="s">
        <v>14</v>
      </c>
      <c r="C77" t="s">
        <v>10</v>
      </c>
      <c r="D77" t="s">
        <v>15</v>
      </c>
      <c r="E77" t="s">
        <v>106</v>
      </c>
      <c r="F77" t="s">
        <v>107</v>
      </c>
      <c r="G77" s="3" t="str">
        <f>_xlfn.XLOOKUP(E77,liste!A:A,liste!B:B,"AUTRE")</f>
        <v>Paramètres définis dans le variateur incorrects</v>
      </c>
      <c r="H77" s="3" t="str">
        <f>_xlfn.XLOOKUP(E77,liste!A:A,liste!C:C,"AUTRE")</f>
        <v>Vérification des paramètres variateur en fonction de l'actionneur</v>
      </c>
      <c r="I77" t="str">
        <f t="shared" si="2"/>
        <v xml:space="preserve"> - PMAF - Alarme - M340 - DEFAUT PARAMETRE BRUSHLESS - DEFAUT PARAMETRES BRUSHLESS A SAISIR ENLEVEMENT 1 -Vérification des paramètres variateur en fonction de l'actionneur</v>
      </c>
    </row>
    <row r="78" spans="2:9" ht="30" x14ac:dyDescent="0.25">
      <c r="B78" t="s">
        <v>14</v>
      </c>
      <c r="C78" t="s">
        <v>10</v>
      </c>
      <c r="D78" t="s">
        <v>15</v>
      </c>
      <c r="E78" t="s">
        <v>108</v>
      </c>
      <c r="F78" t="s">
        <v>109</v>
      </c>
      <c r="G78" s="3" t="str">
        <f>_xlfn.XLOOKUP(E78,liste!A:A,liste!B:B,"AUTRE")</f>
        <v>Trop de plateaux sur le convoyage</v>
      </c>
      <c r="H78" s="3" t="str">
        <f>_xlfn.XLOOKUP(E78,liste!A:A,liste!C:C,"AUTRE")</f>
        <v>Vider manuellement les plateaux en trop
Attente vidange machine ou convoyage</v>
      </c>
      <c r="I78" t="str">
        <f t="shared" si="2"/>
        <v xml:space="preserve"> - PMAF - Alarme - M340 - SATURATION - SATURATION CONVOYEUR EN SORTIE ENLEVEMENT -Vider manuellement les plateaux en trop
Attente vidange machine ou convoyage</v>
      </c>
    </row>
    <row r="79" spans="2:9" ht="60" x14ac:dyDescent="0.25">
      <c r="B79" t="s">
        <v>14</v>
      </c>
      <c r="C79" s="1" t="s">
        <v>110</v>
      </c>
      <c r="D79" t="s">
        <v>15</v>
      </c>
      <c r="E79" t="s">
        <v>43</v>
      </c>
      <c r="F79" t="s">
        <v>111</v>
      </c>
      <c r="G79" s="3" t="str">
        <f>_xlfn.XLOOKUP(E79,liste!A:A,liste!B:B,"AUTRE")</f>
        <v>Le convoyeur n'est pas en fonctionnement
Il y a un blocage mécanique sur l’élément ou condition non atteinte
Le variateur renvoie un code défaut</v>
      </c>
      <c r="H79" s="3" t="str">
        <f>_xlfn.XLOOKUP(E79,liste!A:A,liste!C:C,"AUTRE")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79" t="str">
        <f t="shared" si="2"/>
        <v xml:space="preserve"> - PMAF - AlarmeE2 - M340 - DEFAUT VARIATEUR - DEFAUT CONVOYEUR ENLEVEMENT#2 -Vérifier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80" spans="2:9" ht="60" x14ac:dyDescent="0.25">
      <c r="B80" t="s">
        <v>14</v>
      </c>
      <c r="C80" s="1" t="s">
        <v>110</v>
      </c>
      <c r="D80" t="s">
        <v>15</v>
      </c>
      <c r="E80" t="s">
        <v>43</v>
      </c>
      <c r="F80" t="s">
        <v>112</v>
      </c>
      <c r="G80" s="3" t="str">
        <f>_xlfn.XLOOKUP(E80,liste!A:A,liste!B:B,"AUTRE")</f>
        <v>Le convoyeur n'est pas en fonctionnement
Il y a un blocage mécanique sur l’élément ou condition non atteinte
Le variateur renvoie un code défaut</v>
      </c>
      <c r="H80" s="3" t="str">
        <f>_xlfn.XLOOKUP(E80,liste!A:A,liste!C:C,"AUTRE")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80" t="str">
        <f t="shared" si="2"/>
        <v xml:space="preserve"> - PMAF - AlarmeE2 - M340 - DEFAUT VARIATEUR - DEFAUT AXE ENLEVEMENT#2 -Vérifier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81" spans="2:9" ht="60" x14ac:dyDescent="0.25">
      <c r="B81" t="s">
        <v>14</v>
      </c>
      <c r="C81" s="1" t="s">
        <v>110</v>
      </c>
      <c r="D81" t="s">
        <v>15</v>
      </c>
      <c r="E81" t="s">
        <v>43</v>
      </c>
      <c r="F81" t="s">
        <v>113</v>
      </c>
      <c r="G81" s="3" t="str">
        <f>_xlfn.XLOOKUP(E81,liste!A:A,liste!B:B,"AUTRE")</f>
        <v>Le convoyeur n'est pas en fonctionnement
Il y a un blocage mécanique sur l’élément ou condition non atteinte
Le variateur renvoie un code défaut</v>
      </c>
      <c r="H81" s="3" t="str">
        <f>_xlfn.XLOOKUP(E81,liste!A:A,liste!C:C,"AUTRE")</f>
        <v>Vérifier le retour de marche du moteur.
Contrôler le circuit électrique.
Vérifier le montage mécanique. Vérifier le cycle
Si moteur avec variateur : relever le code d'erreur sur le variateur puis se référer à la documentation de celui ci</v>
      </c>
      <c r="I81" t="str">
        <f t="shared" si="2"/>
        <v xml:space="preserve"> - PMAF - AlarmeE2 - M340 - DEFAUT VARIATEUR - DEFAUT CONVOYEUR DE DEPOSE OEUFS CLAIRS#2 -Vérifier le retour de marche du moteur.
Contrôler le circuit électrique.
Vérifier le montage mécanique. Vérifier le cycle
Si moteur avec variateur : relever le code d'erreur sur le variateur puis se référer à la documentation de celui ci</v>
      </c>
    </row>
    <row r="82" spans="2:9" ht="45" x14ac:dyDescent="0.25">
      <c r="B82" t="s">
        <v>14</v>
      </c>
      <c r="C82" s="1" t="s">
        <v>110</v>
      </c>
      <c r="D82" t="s">
        <v>15</v>
      </c>
      <c r="E82" t="s">
        <v>51</v>
      </c>
      <c r="F82" t="s">
        <v>114</v>
      </c>
      <c r="G82" s="3" t="str">
        <f>_xlfn.XLOOKUP(E82,liste!A:A,liste!B:B,"AUTRE")</f>
        <v>La porte n'est pas fermée</v>
      </c>
      <c r="H82" s="3" t="str">
        <f>_xlfn.XLOOKUP(E82,liste!A:A,liste!C:C,"AUTRE")</f>
        <v>Fermeture de la porte
Capteur de capteur défectueux
Câblage électrique défectueux</v>
      </c>
      <c r="I82" t="str">
        <f t="shared" si="2"/>
        <v xml:space="preserve"> - PMAF - AlarmeE2 - M340 - DEFAUT PORTE - PORTES OUVERTES#2 -Fermeture de la porte
Capteur de capteur défectueux
Câblage électrique défectueux</v>
      </c>
    </row>
    <row r="83" spans="2:9" ht="45" x14ac:dyDescent="0.25">
      <c r="B83" t="s">
        <v>14</v>
      </c>
      <c r="C83" s="1" t="s">
        <v>110</v>
      </c>
      <c r="D83" t="s">
        <v>15</v>
      </c>
      <c r="E83" t="s">
        <v>87</v>
      </c>
      <c r="F83" t="s">
        <v>115</v>
      </c>
      <c r="G83" s="3" t="str">
        <f>_xlfn.XLOOKUP(E83,liste!A:A,liste!B:B,"AUTRE")</f>
        <v>Pression d'air non suffisante
Capteur de pression HS ou mal réglé</v>
      </c>
      <c r="H83" s="3" t="str">
        <f>_xlfn.XLOOKUP(E83,liste!A:A,liste!C:C,"AUTRE")</f>
        <v>Vérification de la nourrice d'air
Pression de l'air doit être aux paramètres définis lors de la mise en service
Pas de fuite</v>
      </c>
      <c r="I83" t="str">
        <f t="shared" si="2"/>
        <v xml:space="preserve"> - PMAF - AlarmeE2 - M340 - DEFAUT PRESSION D'AIR - DEFAUT PRESSION D'AIR#2 -Vérification de la nourrice d'air
Pression de l'air doit être aux paramètres définis lors de la mise en service
Pas de fuite</v>
      </c>
    </row>
    <row r="84" spans="2:9" ht="45" x14ac:dyDescent="0.25">
      <c r="B84" t="s">
        <v>14</v>
      </c>
      <c r="C84" s="1" t="s">
        <v>110</v>
      </c>
      <c r="D84" t="s">
        <v>15</v>
      </c>
      <c r="E84" t="s">
        <v>93</v>
      </c>
      <c r="F84" t="s">
        <v>116</v>
      </c>
      <c r="G84" s="3" t="str">
        <f>_xlfn.XLOOKUP(E84,liste!A:A,liste!B:B,"AUTRE")</f>
        <v>Le retour marche n’est pas renvoyé.
Il y a un blocage mécanique sur l’élément.</v>
      </c>
      <c r="H84" s="3" t="str">
        <f>_xlfn.XLOOKUP(E84,liste!A:A,liste!C:C,"AUTRE")</f>
        <v>Vérifier le retour de marche du moteur.
Contrôler le circuit électrique.
Vérifier le montage mécanique.</v>
      </c>
      <c r="I84" t="str">
        <f t="shared" si="2"/>
        <v xml:space="preserve"> - PMAF - AlarmeE2 - M340 - DEFAUT POMPE - DEFAUT POMPE DE VIDE ENLEVEMENT#2 -Vérifier le retour de marche du moteur.
Contrôler le circuit électrique.
Vérifier le montage mécanique.</v>
      </c>
    </row>
    <row r="85" spans="2:9" ht="30" x14ac:dyDescent="0.25">
      <c r="B85" t="s">
        <v>14</v>
      </c>
      <c r="C85" s="1" t="s">
        <v>110</v>
      </c>
      <c r="D85" t="s">
        <v>15</v>
      </c>
      <c r="E85" t="s">
        <v>35</v>
      </c>
      <c r="F85" t="s">
        <v>117</v>
      </c>
      <c r="G85" s="3" t="str">
        <f>_xlfn.XLOOKUP(E85,liste!A:A,liste!B:B,"AUTRE")</f>
        <v xml:space="preserve">  -Onduleur en défaut</v>
      </c>
      <c r="H85" s="3" t="str">
        <f>_xlfn.XLOOKUP(E85,liste!A:A,liste!C:C,"AUTRE")</f>
        <v xml:space="preserve"> Relever le défaut affiché sur l'onduleur
 Se référer à  la documentation de celui ci pour résoudre le défaut</v>
      </c>
      <c r="I85" t="str">
        <f t="shared" si="2"/>
        <v xml:space="preserve"> - PMAF - AlarmeE2 - M340 - DEFAUT ONDULEUR - DEFAUT ONDULEUR SUR ENLEVEMENT#2 - Relever le défaut affiché sur l'onduleur
 Se référer à  la documentation de celui ci pour résoudre le défaut</v>
      </c>
    </row>
    <row r="86" spans="2:9" x14ac:dyDescent="0.25">
      <c r="B86" t="s">
        <v>14</v>
      </c>
      <c r="C86" s="1" t="s">
        <v>110</v>
      </c>
      <c r="D86" t="s">
        <v>15</v>
      </c>
      <c r="E86" t="s">
        <v>37</v>
      </c>
      <c r="F86" t="s">
        <v>118</v>
      </c>
      <c r="G86" s="3" t="str">
        <f>_xlfn.XLOOKUP(E86,liste!A:A,liste!B:B,"AUTRE")</f>
        <v xml:space="preserve"> - L'équipement concerné est passé en mode batterie</v>
      </c>
      <c r="H86" s="3" t="str">
        <f>_xlfn.XLOOKUP(E86,liste!A:A,liste!C:C,"AUTRE")</f>
        <v>Vérifier la bonne alimentation de l'équipement.</v>
      </c>
      <c r="I86" t="str">
        <f t="shared" si="2"/>
        <v xml:space="preserve"> - PMAF - AlarmeE2 - M340 - DEFAUT COUPURE ALIMENTATION - DEFAUT COUPURE ALIMENTATION ENLEVEMENT#2 -Vérifier la bonne alimentation de l'équipement.</v>
      </c>
    </row>
    <row r="87" spans="2:9" ht="45" x14ac:dyDescent="0.25">
      <c r="B87" t="s">
        <v>14</v>
      </c>
      <c r="C87" s="1" t="s">
        <v>110</v>
      </c>
      <c r="D87" t="s">
        <v>15</v>
      </c>
      <c r="E87" t="s">
        <v>84</v>
      </c>
      <c r="F87" t="s">
        <v>119</v>
      </c>
      <c r="G87" s="3" t="str">
        <f>_xlfn.XLOOKUP(E87,liste!A:A,liste!B:B,"AUTRE")</f>
        <v>Le codeur ne s'incrémente pas alors que le moteur tourne</v>
      </c>
      <c r="H87" s="3" t="str">
        <f>_xlfn.XLOOKUP(E87,liste!A:A,liste!C:C,"AUTRE")</f>
        <v>Vérifier que le codeur est bien serré et tourne bien avec l'arbre moteur
 Si oui : Changer le codeur 
 Si non : resserrer le codeur sur l'arbre</v>
      </c>
      <c r="I87" t="str">
        <f t="shared" si="2"/>
        <v xml:space="preserve"> - PMAF - AlarmeE2 - M340 - DEFAUT CODEUR - DEFAUT CODEUR ENLEVEMENT 2 -Vérifier que le codeur est bien serré et tourne bien avec l'arbre moteur
 Si oui : Changer le codeur 
 Si non : resserrer le codeur sur l'arbre</v>
      </c>
    </row>
    <row r="88" spans="2:9" ht="30" x14ac:dyDescent="0.25">
      <c r="B88" t="s">
        <v>14</v>
      </c>
      <c r="C88" s="1" t="s">
        <v>110</v>
      </c>
      <c r="D88" t="s">
        <v>15</v>
      </c>
      <c r="E88" s="1" t="s">
        <v>39</v>
      </c>
      <c r="F88" t="s">
        <v>120</v>
      </c>
      <c r="G88" s="3" t="str">
        <f>_xlfn.XLOOKUP(E88,liste!A:A,liste!B:B,"AUTRE")</f>
        <v xml:space="preserve"> - Plateau trop rapproché</v>
      </c>
      <c r="H88" s="3" t="str">
        <f>_xlfn.XLOOKUP(E88,liste!A:A,liste!C:C,"AUTRE")</f>
        <v xml:space="preserve"> Vidanger les plateau de la machine
 Vérifier le bon fonctionnement des capteurs de plateau de la ligne</v>
      </c>
      <c r="I88" t="str">
        <f t="shared" si="2"/>
        <v xml:space="preserve"> - PMAF - AlarmeE2 - M340 - DEFAUT PLATEAUX COLLES - DEFAUT PLATEAUX COLLES SOUS ENLEVEMENT#2 - Vidanger les plateau de la machine
 Vérifier le bon fonctionnement des capteurs de plateau de la ligne</v>
      </c>
    </row>
    <row r="89" spans="2:9" ht="45" x14ac:dyDescent="0.25">
      <c r="B89" t="s">
        <v>14</v>
      </c>
      <c r="C89" s="1" t="s">
        <v>110</v>
      </c>
      <c r="D89" t="s">
        <v>15</v>
      </c>
      <c r="E89" t="s">
        <v>104</v>
      </c>
      <c r="F89" t="s">
        <v>121</v>
      </c>
      <c r="G89" s="3" t="str">
        <f>_xlfn.XLOOKUP(E89,liste!A:A,liste!B:B,"AUTRE")</f>
        <v>La communication avec le variateur n'est plus établie ou a été coupée</v>
      </c>
      <c r="H89" s="3" t="str">
        <f>_xlfn.XLOOKUP(E89,liste!A:A,liste!C:C,"AUTRE")</f>
        <v>Vérifier l'alimentation des variateur
Vérifier le câblage de communication
Contrôler les architectures réseau</v>
      </c>
      <c r="I89" t="str">
        <f t="shared" si="2"/>
        <v xml:space="preserve"> - PMAF - AlarmeE2 - M340 - DEFAUT CONTROLE RETOUR BRUSHLESS - DEFAUT CONTROLE RETOUR BRUSHLESS ENLEVEMENT 2 -Vérifier l'alimentation des variateur
Vérifier le câblage de communication
Contrôler les architectures réseau</v>
      </c>
    </row>
    <row r="90" spans="2:9" x14ac:dyDescent="0.25">
      <c r="B90" t="s">
        <v>14</v>
      </c>
      <c r="C90" s="1" t="s">
        <v>110</v>
      </c>
      <c r="D90" t="s">
        <v>15</v>
      </c>
      <c r="E90" t="s">
        <v>106</v>
      </c>
      <c r="F90" t="s">
        <v>122</v>
      </c>
      <c r="G90" s="3" t="str">
        <f>_xlfn.XLOOKUP(E90,liste!A:A,liste!B:B,"AUTRE")</f>
        <v>Paramètres définis dans le variateur incorrects</v>
      </c>
      <c r="H90" s="3" t="str">
        <f>_xlfn.XLOOKUP(E90,liste!A:A,liste!C:C,"AUTRE")</f>
        <v>Vérification des paramètres variateur en fonction de l'actionneur</v>
      </c>
      <c r="I90" t="str">
        <f t="shared" si="2"/>
        <v xml:space="preserve"> - PMAF - AlarmeE2 - M340 - DEFAUT PARAMETRE BRUSHLESS - DEFAUT PARAMETRES BRUSHLESS A SAISIR ENLEVEMENT 2 -Vérification des paramètres variateur en fonction de l'actionneur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030C5E-9A2D-4B53-8D88-868BC9FEFF49}">
          <x14:formula1>
            <xm:f>liste!$A$2:$A$25</xm:f>
          </x14:formula1>
          <xm:sqref>E2:E10 E23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0AA3-53D1-41D3-922A-50D69DF7615E}">
  <dimension ref="A1:H252"/>
  <sheetViews>
    <sheetView topLeftCell="A2" workbookViewId="0"/>
  </sheetViews>
  <sheetFormatPr baseColWidth="10" defaultColWidth="9.140625" defaultRowHeight="15" x14ac:dyDescent="0.25"/>
  <cols>
    <col min="1" max="1" width="44" customWidth="1"/>
    <col min="2" max="2" width="64.28515625" customWidth="1"/>
    <col min="3" max="3" width="25.5703125" customWidth="1"/>
    <col min="4" max="4" width="55.140625" customWidth="1"/>
    <col min="5" max="5" width="120.42578125" customWidth="1"/>
    <col min="6" max="6" width="67.5703125" style="3" customWidth="1"/>
    <col min="7" max="7" width="165.85546875" customWidth="1"/>
    <col min="8" max="8" width="255.7109375" customWidth="1"/>
  </cols>
  <sheetData>
    <row r="1" spans="1:8" x14ac:dyDescent="0.25">
      <c r="A1" t="s">
        <v>5</v>
      </c>
      <c r="B1" t="s">
        <v>123</v>
      </c>
      <c r="C1" t="s">
        <v>124</v>
      </c>
      <c r="D1" t="s">
        <v>125</v>
      </c>
      <c r="E1" t="s">
        <v>126</v>
      </c>
      <c r="F1" s="3" t="s">
        <v>127</v>
      </c>
      <c r="G1" t="s">
        <v>128</v>
      </c>
      <c r="H1" t="s">
        <v>129</v>
      </c>
    </row>
    <row r="2" spans="1:8" x14ac:dyDescent="0.25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s="3" t="str">
        <f>_xlfn.XLOOKUP("Explication_"&amp;B2,Feuil2!B:B,Feuil2!C:C,"Non trouvé")</f>
        <v>La boucle électrique d'arrêt d'urgence du relais de sécurité a été ouverte</v>
      </c>
      <c r="G2" t="str">
        <f>_xlfn.XLOOKUP("Cause_"&amp;B2,Feuil2!B:B,Feuil2!C:C,"Non trouvé")</f>
        <v>- Au moins un bouton d'arrêt d'urgence a été enclenché
- Si la machine vient d'être allumée, le défaut peut apparaître même si aucun bouton d'arrêt d'urgence n'a été enclenché</v>
      </c>
      <c r="H2" t="str">
        <f>_xlfn.XLOOKUP("Solution_"&amp;B2,Feuil2!B:B,Feuil2!C:C,"Non trouvé")</f>
        <v>Vérifier que les arrêts d'urgence de la machine sont désenclenchés, que les portes sont fermées, et appuyer sur le bouton "reset"</v>
      </c>
    </row>
    <row r="3" spans="1:8" ht="30" x14ac:dyDescent="0.25">
      <c r="A3" t="s">
        <v>135</v>
      </c>
      <c r="B3" t="s">
        <v>136</v>
      </c>
      <c r="C3" t="s">
        <v>137</v>
      </c>
      <c r="D3" t="s">
        <v>138</v>
      </c>
      <c r="E3" t="s">
        <v>139</v>
      </c>
      <c r="F3" s="3" t="str">
        <f>_xlfn.XLOOKUP("Explication_"&amp;B3,Feuil2!B:B,Feuil2!C:C,"Non trouvé")</f>
        <v>Une sortie du module de protection électronique Q20 s'est coupée car il y a eu une surintensité sur une de ses voies.</v>
      </c>
      <c r="G3" t="str">
        <f>_xlfn.XLOOKUP("Cause_"&amp;B3,Feuil2!B:B,Feuil2!C:C,"Non trouvé")</f>
        <v>- Mauvais réglage de l'intensité de la voie (le voyant passe en orange, puis en rouge)
- Court-circuit sur la voie (le voyant passe directement en rouge)</v>
      </c>
      <c r="H3" t="str">
        <f>_xlfn.XLOOKUP("Solution_"&amp;B3,Feuil2!B:B,Feuil2!C:C,"Non trouvé")</f>
        <v>- Ajuster la protection thermique de la voie à l'aide de la vis proche du voyant
- Eliminer le court-circuit puis appuyer sur le voyant du disjoncteur électronique pour réarmer la voie</v>
      </c>
    </row>
    <row r="4" spans="1:8" x14ac:dyDescent="0.25">
      <c r="A4" t="s">
        <v>140</v>
      </c>
      <c r="B4" t="s">
        <v>141</v>
      </c>
      <c r="C4" t="s">
        <v>142</v>
      </c>
      <c r="D4" t="s">
        <v>143</v>
      </c>
      <c r="E4" t="s">
        <v>144</v>
      </c>
      <c r="F4" s="3" t="s">
        <v>145</v>
      </c>
      <c r="G4" s="3" t="s">
        <v>145</v>
      </c>
      <c r="H4" t="s">
        <v>146</v>
      </c>
    </row>
    <row r="5" spans="1:8" ht="30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s="3" t="str">
        <f>_xlfn.XLOOKUP("Explication_"&amp;B5,Feuil2!B:B,Feuil2!C:C,"Non trouvé")</f>
        <v>L'onduleur ne détecte plus d'alimentation électrique et est passé en mode batterie, il renvoi un signal à l'automate</v>
      </c>
      <c r="G5" t="str">
        <f>_xlfn.XLOOKUP("Cause_"&amp;B5,Feuil2!B:B,Feuil2!C:C,"Non trouvé")</f>
        <v>Coupure de l'alimentation électrique de la machine (volontaire ou non)</v>
      </c>
      <c r="H5" t="str">
        <f>_xlfn.XLOOKUP("Solution_"&amp;B5,Feuil2!B:B,Feuil2!C:C,"Non trouvé")</f>
        <v>- Si le passage de l'onduleur sur batterie n'est pas normal ou n'est pas attendu, vérifier l'alimentation électrique de la machine jusqu’à l'onduleur.
- Sinon, ne pas tenir compte de l'alarme, la machine va s'éteindre toute seule en quelques minutes.</v>
      </c>
    </row>
    <row r="6" spans="1:8" x14ac:dyDescent="0.25">
      <c r="A6" t="s">
        <v>152</v>
      </c>
      <c r="B6" t="s">
        <v>153</v>
      </c>
      <c r="C6" t="s">
        <v>154</v>
      </c>
      <c r="D6" t="s">
        <v>155</v>
      </c>
      <c r="E6" t="s">
        <v>156</v>
      </c>
      <c r="F6" s="3" t="str">
        <f>_xlfn.XLOOKUP("Explication_"&amp;B6,Feuil2!B:B,Feuil2!C:C,"Non trouvé")</f>
        <v>Le module parafoudre a au moins une cartouche hors service</v>
      </c>
      <c r="G6" t="str">
        <f>_xlfn.XLOOKUP("Cause_"&amp;B6,Feuil2!B:B,Feuil2!C:C,"Non trouvé")</f>
        <v>Surtension soudaine et importante sur l'alimentation générale de la machine.</v>
      </c>
      <c r="H6" t="str">
        <f>_xlfn.XLOOKUP("Solution_"&amp;B6,Feuil2!B:B,Feuil2!C:C,"Non trouvé")</f>
        <v>Remplacer la cartouche défectueuse.</v>
      </c>
    </row>
    <row r="7" spans="1:8" ht="30" x14ac:dyDescent="0.25">
      <c r="A7" t="s">
        <v>157</v>
      </c>
      <c r="B7" t="s">
        <v>158</v>
      </c>
      <c r="C7" t="s">
        <v>159</v>
      </c>
      <c r="D7" t="s">
        <v>160</v>
      </c>
      <c r="E7" t="s">
        <v>161</v>
      </c>
      <c r="F7" s="3" t="str">
        <f>_xlfn.XLOOKUP("Explication_"&amp;B7,Feuil2!B:B,Feuil2!C:C,"Non trouvé")</f>
        <v>Le capteur de pression d'air général de la machine est hors plage de fonctionnement</v>
      </c>
      <c r="G7" t="str">
        <f>_xlfn.XLOOKUP("Cause_"&amp;B7,Feuil2!B:B,Feuil2!C:C,"Non trouvé")</f>
        <v>- Il  n'y a pas d'air sur la machine (attention, le pressostat est situé en aval de la vanne de coupure générale), ou pas suffisamment
- Le capteur de pression d'air est défectueux ou non alimenté</v>
      </c>
      <c r="H7" t="str">
        <f>_xlfn.XLOOKUP("Solution_"&amp;B7,Feuil2!B:B,Feuil2!C:C,"Non trouvé")</f>
        <v>- Vérifier la présence d'air comprimé en entrée de machine et que celle-ci soit dans la plage de tolérance acceptée
- Si la valeur affichée à l'IHM est égale à 0 mais qu'il y a de l'air, vérifier que le capteur de pression est correctement alimenté électriquement. Si c'est le cas, remplacer-le.</v>
      </c>
    </row>
    <row r="8" spans="1:8" x14ac:dyDescent="0.25">
      <c r="A8" t="s">
        <v>162</v>
      </c>
      <c r="B8" t="s">
        <v>163</v>
      </c>
      <c r="C8" t="s">
        <v>164</v>
      </c>
      <c r="D8" t="s">
        <v>165</v>
      </c>
      <c r="E8" t="s">
        <v>166</v>
      </c>
      <c r="F8" s="3" t="str">
        <f>_xlfn.XLOOKUP("Explication_"&amp;B8,Feuil2!B:B,Feuil2!C:C,"Non trouvé")</f>
        <v>Non trouvé</v>
      </c>
      <c r="G8" t="str">
        <f>_xlfn.XLOOKUP("Cause_"&amp;B8,Feuil2!B:B,Feuil2!C:C,"Non trouvé")</f>
        <v>Non trouvé</v>
      </c>
      <c r="H8" t="str">
        <f>_xlfn.XLOOKUP("Solution_"&amp;B8,Feuil2!B:B,Feuil2!C:C,"Non trouvé")</f>
        <v>Non trouvé</v>
      </c>
    </row>
    <row r="9" spans="1:8" x14ac:dyDescent="0.25">
      <c r="A9" t="s">
        <v>167</v>
      </c>
      <c r="B9" t="s">
        <v>168</v>
      </c>
      <c r="C9" t="s">
        <v>169</v>
      </c>
      <c r="D9" t="s">
        <v>170</v>
      </c>
      <c r="E9" t="s">
        <v>171</v>
      </c>
      <c r="F9" s="3" t="str">
        <f>_xlfn.XLOOKUP("Explication_"&amp;B9,Feuil2!B:B,Feuil2!C:C,"Non trouvé")</f>
        <v>Non trouvé</v>
      </c>
      <c r="G9" t="str">
        <f>_xlfn.XLOOKUP("Cause_"&amp;B9,Feuil2!B:B,Feuil2!C:C,"Non trouvé")</f>
        <v>Non trouvé</v>
      </c>
      <c r="H9" t="str">
        <f>_xlfn.XLOOKUP("Solution_"&amp;B9,Feuil2!B:B,Feuil2!C:C,"Non trouvé")</f>
        <v>Non trouvé</v>
      </c>
    </row>
    <row r="10" spans="1:8" x14ac:dyDescent="0.25">
      <c r="A10" t="s">
        <v>172</v>
      </c>
      <c r="B10" t="s">
        <v>173</v>
      </c>
      <c r="C10" t="s">
        <v>174</v>
      </c>
      <c r="D10" t="s">
        <v>175</v>
      </c>
      <c r="E10" t="s">
        <v>176</v>
      </c>
      <c r="F10" s="3" t="str">
        <f>_xlfn.XLOOKUP("Explication_"&amp;B10,Feuil2!B:B,Feuil2!C:C,"Non trouvé")</f>
        <v>L'automate détecte qu'il n'y a pas de valeurs dans les paramètres</v>
      </c>
      <c r="G10" t="str">
        <f>_xlfn.XLOOKUP("Cause_"&amp;B10,Feuil2!B:B,Feuil2!C:C,"Non trouvé")</f>
        <v>L'automate a perdu ses données</v>
      </c>
      <c r="H10" t="str">
        <f>_xlfn.XLOOKUP("Solution_"&amp;B10,Feuil2!B:B,Feuil2!C:C,"Non trouvé")</f>
        <v>Contacter Ecat-iD</v>
      </c>
    </row>
    <row r="11" spans="1:8" ht="30" x14ac:dyDescent="0.25">
      <c r="A11" t="s">
        <v>177</v>
      </c>
      <c r="B11" t="s">
        <v>178</v>
      </c>
      <c r="C11" t="s">
        <v>179</v>
      </c>
      <c r="D11" t="s">
        <v>180</v>
      </c>
      <c r="E11" t="s">
        <v>181</v>
      </c>
      <c r="F11" s="3" t="str">
        <f>_xlfn.XLOOKUP("Explication_"&amp;B11,Feuil2!B:B,Feuil2!C:C,"Non trouvé")</f>
        <v>Pendant le mode stress test, un capteur a détecté quelque chose et le mode s'est stoppé</v>
      </c>
      <c r="G11" t="str">
        <f>_xlfn.XLOOKUP("Cause_"&amp;B11,Feuil2!B:B,Feuil2!C:C,"Non trouvé")</f>
        <v>Quelque chose est passé devant un capteur pendant le mode stress test</v>
      </c>
      <c r="H11" t="str">
        <f>_xlfn.XLOOKUP("Solution_"&amp;B11,Feuil2!B:B,Feuil2!C:C,"Non trouvé")</f>
        <v>Vérifier les capteurs</v>
      </c>
    </row>
    <row r="12" spans="1:8" ht="30" x14ac:dyDescent="0.25">
      <c r="A12" t="s">
        <v>182</v>
      </c>
      <c r="B12" t="s">
        <v>183</v>
      </c>
      <c r="C12" t="s">
        <v>184</v>
      </c>
      <c r="D12" t="s">
        <v>185</v>
      </c>
      <c r="E12" t="s">
        <v>186</v>
      </c>
      <c r="F12" s="3" t="str">
        <f>_xlfn.XLOOKUP("Explication_"&amp;B12,Feuil2!B:B,Feuil2!C:C,"Non trouvé")</f>
        <v>Il y a un défaut de communication avec l'esclave Ethercat indiqué. Le voyant rouge du port Ethercat de l'automate clignote en rouge.</v>
      </c>
      <c r="G12" t="str">
        <f>_xlfn.XLOOKUP("Cause_"&amp;B12,Feuil2!B:B,Feuil2!C:C,"Non trouvé")</f>
        <v>- Une mauvaise connexion d'un câble Ethercat
- L'esclave Ethercat n'est pas alimenté
- Défaut du port Ethercat de l'automate</v>
      </c>
      <c r="H12" t="str">
        <f>_xlfn.XLOOKUP("Solution_"&amp;B12,Feuil2!B:B,Feuil2!C:C,"Non trouvé")</f>
        <v>- Vérifier l'état de l'esclave Ethercat en question à l'aide de la page de visualisation depuis l'IHM.
- Si aucun défaut n'apparait sur l'esclave Ethercat, contacter ECATID</v>
      </c>
    </row>
    <row r="13" spans="1:8" ht="30" x14ac:dyDescent="0.25">
      <c r="A13" t="s">
        <v>187</v>
      </c>
      <c r="B13" t="s">
        <v>188</v>
      </c>
      <c r="C13" t="s">
        <v>189</v>
      </c>
      <c r="D13" t="s">
        <v>190</v>
      </c>
      <c r="E13" t="s">
        <v>191</v>
      </c>
      <c r="F13" s="3" t="str">
        <f>_xlfn.XLOOKUP("Explication_"&amp;B13,Feuil2!B:B,Feuil2!C:C,"Non trouvé")</f>
        <v>Il y a un défaut de communication avec l'esclave Ethercat indiqué. Le voyant rouge du port Ethercat de l'automate clignote en rouge.</v>
      </c>
      <c r="G13" t="str">
        <f>_xlfn.XLOOKUP("Cause_"&amp;B13,Feuil2!B:B,Feuil2!C:C,"Non trouvé")</f>
        <v>- Une mauvaise connexion d'un câble Ethercat
- L'esclave Ethercat n'est pas alimenté
- Défaut du port Ethercat de l'automate</v>
      </c>
      <c r="H13" t="str">
        <f>_xlfn.XLOOKUP("Solution_"&amp;B13,Feuil2!B:B,Feuil2!C:C,"Non trouvé")</f>
        <v>- Vérifier l'état de l'esclave Ethercat en question à l'aide de la page de visualisation depuis l'IHM.
- Si aucun défaut n'apparait sur l'esclave Ethercat, contacter ECATID</v>
      </c>
    </row>
    <row r="14" spans="1:8" ht="30" x14ac:dyDescent="0.25">
      <c r="A14" t="s">
        <v>192</v>
      </c>
      <c r="B14" t="s">
        <v>193</v>
      </c>
      <c r="C14" t="s">
        <v>194</v>
      </c>
      <c r="D14" t="s">
        <v>195</v>
      </c>
      <c r="E14" t="s">
        <v>196</v>
      </c>
      <c r="F14" s="3" t="str">
        <f>_xlfn.XLOOKUP("Explication_"&amp;B14,Feuil2!B:B,Feuil2!C:C,"Non trouvé")</f>
        <v>Il y a un défaut de communication avec l'esclave Ethercat indiqué. Le voyant rouge du port Ethercat de l'automate clignote en rouge.</v>
      </c>
      <c r="G14" t="str">
        <f>_xlfn.XLOOKUP("Cause_"&amp;B14,Feuil2!B:B,Feuil2!C:C,"Non trouvé")</f>
        <v>- Une mauvaise connexion d'un câble Ethercat
- L'esclave Ethercat n'est pas alimenté
- Défaut du port Ethercat de l'automate</v>
      </c>
      <c r="H14" t="str">
        <f>_xlfn.XLOOKUP("Solution_"&amp;B14,Feuil2!B:B,Feuil2!C:C,"Non trouvé")</f>
        <v>- Vérifier l'état de l'esclave Ethercat en question à l'aide de la page de visualisation depuis l'IHM.
- Si aucun défaut n'apparait sur l'esclave Ethercat, contacter ECATID</v>
      </c>
    </row>
    <row r="15" spans="1:8" ht="30" x14ac:dyDescent="0.25">
      <c r="A15" t="s">
        <v>197</v>
      </c>
      <c r="B15" t="s">
        <v>198</v>
      </c>
      <c r="C15" t="s">
        <v>199</v>
      </c>
      <c r="D15" t="s">
        <v>200</v>
      </c>
      <c r="E15" t="s">
        <v>201</v>
      </c>
      <c r="F15" s="3" t="str">
        <f>_xlfn.XLOOKUP("Explication_"&amp;B15,Feuil2!B:B,Feuil2!C:C,"Non trouvé")</f>
        <v>Il y a un défaut de communication avec l'esclave Ethercat indiqué. Le voyant rouge du port Ethercat de l'automate clignote en rouge.</v>
      </c>
      <c r="G15" t="str">
        <f>_xlfn.XLOOKUP("Cause_"&amp;B15,Feuil2!B:B,Feuil2!C:C,"Non trouvé")</f>
        <v>- Une mauvaise connexion d'un câble Ethercat
- L'esclave Ethercat n'est pas alimenté
- Défaut du port Ethercat de l'automate</v>
      </c>
      <c r="H15" t="str">
        <f>_xlfn.XLOOKUP("Solution_"&amp;B15,Feuil2!B:B,Feuil2!C:C,"Non trouvé")</f>
        <v>- Vérifier l'état de l'esclave Ethercat en question à l'aide de la page de visualisation depuis l'IHM.
- Si aucun défaut n'apparait sur l'esclave Ethercat, contacter ECATID</v>
      </c>
    </row>
    <row r="16" spans="1:8" ht="30" x14ac:dyDescent="0.25">
      <c r="A16" t="s">
        <v>202</v>
      </c>
      <c r="B16" t="s">
        <v>203</v>
      </c>
      <c r="C16" t="s">
        <v>204</v>
      </c>
      <c r="D16" t="s">
        <v>205</v>
      </c>
      <c r="E16" t="s">
        <v>206</v>
      </c>
      <c r="F16" s="3" t="str">
        <f>_xlfn.XLOOKUP("Explication_"&amp;B16,Feuil2!B:B,Feuil2!C:C,"Non trouvé")</f>
        <v>Il y a un défaut de communication avec l'esclave Ethercat indiqué. Le voyant rouge du port Ethercat de l'automate clignote en rouge.</v>
      </c>
      <c r="G16" t="str">
        <f>_xlfn.XLOOKUP("Cause_"&amp;B16,Feuil2!B:B,Feuil2!C:C,"Non trouvé")</f>
        <v>- Une mauvaise connexion d'un câble Ethercat
- L'esclave Ethercat n'est pas alimenté
- Défaut du port Ethercat de l'automate</v>
      </c>
      <c r="H16" t="str">
        <f>_xlfn.XLOOKUP("Solution_"&amp;B16,Feuil2!B:B,Feuil2!C:C,"Non trouvé")</f>
        <v>- Vérifier l'état de l'esclave Ethercat en question à l'aide de la page de visualisation depuis l'IHM.
- Si aucun défaut n'apparait sur l'esclave Ethercat, contacter ECATID</v>
      </c>
    </row>
    <row r="17" spans="1:8" ht="30" x14ac:dyDescent="0.25">
      <c r="A17" t="s">
        <v>207</v>
      </c>
      <c r="B17" t="s">
        <v>208</v>
      </c>
      <c r="C17" t="s">
        <v>209</v>
      </c>
      <c r="D17" t="s">
        <v>210</v>
      </c>
      <c r="E17" t="s">
        <v>211</v>
      </c>
      <c r="F17" s="3" t="str">
        <f>_xlfn.XLOOKUP("Explication_"&amp;B17,Feuil2!B:B,Feuil2!C:C,"Non trouvé")</f>
        <v>Il y a un défaut de communication avec l'esclave Ethercat indiqué. Le voyant rouge du port Ethercat de l'automate clignote en rouge.</v>
      </c>
      <c r="G17" t="str">
        <f>_xlfn.XLOOKUP("Cause_"&amp;B17,Feuil2!B:B,Feuil2!C:C,"Non trouvé")</f>
        <v>- Une mauvaise connexion d'un câble Ethercat
- L'esclave Ethercat n'est pas alimenté
- Défaut du port Ethercat de l'automate</v>
      </c>
      <c r="H17" t="str">
        <f>_xlfn.XLOOKUP("Solution_"&amp;B17,Feuil2!B:B,Feuil2!C:C,"Non trouvé")</f>
        <v>- Vérifier l'état de l'esclave Ethercat en question à l'aide de la page de visualisation depuis l'IHM.
- Si aucun défaut n'apparait sur l'esclave Ethercat, contacter ECATID</v>
      </c>
    </row>
    <row r="18" spans="1:8" ht="30" x14ac:dyDescent="0.25">
      <c r="A18" t="s">
        <v>212</v>
      </c>
      <c r="B18" t="s">
        <v>213</v>
      </c>
      <c r="C18" t="s">
        <v>214</v>
      </c>
      <c r="D18" t="s">
        <v>215</v>
      </c>
      <c r="E18" t="s">
        <v>216</v>
      </c>
      <c r="F18" s="3" t="str">
        <f>_xlfn.XLOOKUP("Explication_"&amp;B18,Feuil2!B:B,Feuil2!C:C,"Non trouvé")</f>
        <v>Il y a un défaut de communication avec l'esclave Ethercat indiqué. Le voyant rouge du port Ethercat de l'automate clignote en rouge.</v>
      </c>
      <c r="G18" t="str">
        <f>_xlfn.XLOOKUP("Cause_"&amp;B18,Feuil2!B:B,Feuil2!C:C,"Non trouvé")</f>
        <v>- Une mauvaise connexion d'un câble Ethercat
- L'esclave Ethercat n'est pas alimenté
- Défaut du port Ethercat de l'automate</v>
      </c>
      <c r="H18" t="str">
        <f>_xlfn.XLOOKUP("Solution_"&amp;B18,Feuil2!B:B,Feuil2!C:C,"Non trouvé")</f>
        <v>- Vérifier l'état de l'esclave Ethercat en question à l'aide de la page de visualisation depuis l'IHM.
- Si aucun défaut n'apparait sur l'esclave Ethercat, contacter ECATID</v>
      </c>
    </row>
    <row r="19" spans="1:8" ht="30" x14ac:dyDescent="0.25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 s="3" t="str">
        <f>_xlfn.XLOOKUP("Explication_"&amp;B19,Feuil2!B:B,Feuil2!C:C,"Non trouvé")</f>
        <v>Il y a un défaut de communication avec l'esclave Ethercat indiqué. Le voyant rouge du port Ethercat de l'automate clignote en rouge.</v>
      </c>
      <c r="G19" t="str">
        <f>_xlfn.XLOOKUP("Cause_"&amp;B19,Feuil2!B:B,Feuil2!C:C,"Non trouvé")</f>
        <v>- Une mauvaise connexion d'un câble Ethercat
- L'esclave Ethercat n'est pas alimenté
- Défaut du port Ethercat de l'automate</v>
      </c>
      <c r="H19" t="str">
        <f>_xlfn.XLOOKUP("Solution_"&amp;B19,Feuil2!B:B,Feuil2!C:C,"Non trouvé")</f>
        <v>- Vérifier l'état de l'esclave Ethercat en question à l'aide de la page de visualisation depuis l'IHM.
- Si aucun défaut n'apparait sur l'esclave Ethercat, contacter ECATID</v>
      </c>
    </row>
    <row r="20" spans="1:8" ht="30" x14ac:dyDescent="0.25">
      <c r="A20" t="s">
        <v>222</v>
      </c>
      <c r="B20" t="s">
        <v>223</v>
      </c>
      <c r="C20" t="s">
        <v>224</v>
      </c>
      <c r="D20" t="s">
        <v>225</v>
      </c>
      <c r="E20" t="s">
        <v>226</v>
      </c>
      <c r="F20" s="3" t="str">
        <f>_xlfn.XLOOKUP("Explication_"&amp;B20,Feuil2!B:B,Feuil2!C:C,"Non trouvé")</f>
        <v>Il y a un défaut de communication avec l'esclave Ethercat indiqué. Le voyant rouge du port Ethercat de l'automate clignote en rouge.</v>
      </c>
      <c r="G20" t="str">
        <f>_xlfn.XLOOKUP("Cause_"&amp;B20,Feuil2!B:B,Feuil2!C:C,"Non trouvé")</f>
        <v>- Une mauvaise connexion d'un câble Ethercat
- L'esclave Ethercat n'est pas alimenté
- Défaut du port Ethercat de l'automate</v>
      </c>
      <c r="H20" t="str">
        <f>_xlfn.XLOOKUP("Solution_"&amp;B20,Feuil2!B:B,Feuil2!C:C,"Non trouvé")</f>
        <v>- Vérifier l'état de l'esclave Ethercat en question à l'aide de la page de visualisation depuis l'IHM.
- Si aucun défaut n'apparait sur l'esclave Ethercat, contacter ECATID</v>
      </c>
    </row>
    <row r="21" spans="1:8" ht="30" x14ac:dyDescent="0.25">
      <c r="A21" t="s">
        <v>227</v>
      </c>
      <c r="B21" t="s">
        <v>228</v>
      </c>
      <c r="C21" t="s">
        <v>229</v>
      </c>
      <c r="D21" t="s">
        <v>230</v>
      </c>
      <c r="E21" t="s">
        <v>231</v>
      </c>
      <c r="F21" s="3" t="str">
        <f>_xlfn.XLOOKUP("Explication_"&amp;B21,Feuil2!B:B,Feuil2!C:C,"Non trouvé")</f>
        <v>Il y a un défaut de communication avec l'esclave Ethercat indiqué. Le voyant rouge du port Ethercat de l'automate clignote en rouge.</v>
      </c>
      <c r="G21" t="str">
        <f>_xlfn.XLOOKUP("Cause_"&amp;B21,Feuil2!B:B,Feuil2!C:C,"Non trouvé")</f>
        <v>- Une mauvaise connexion d'un câble Ethercat
- L'esclave Ethercat n'est pas alimenté
- Défaut du port Ethercat de l'automate</v>
      </c>
      <c r="H21" t="str">
        <f>_xlfn.XLOOKUP("Solution_"&amp;B21,Feuil2!B:B,Feuil2!C:C,"Non trouvé")</f>
        <v>- Vérifier l'état de l'esclave Ethercat en question à l'aide de la page de visualisation depuis l'IHM.
- Si aucun défaut n'apparait sur l'esclave Ethercat, contacter ECATID</v>
      </c>
    </row>
    <row r="22" spans="1:8" ht="45" x14ac:dyDescent="0.25">
      <c r="A22" t="s">
        <v>232</v>
      </c>
      <c r="B22" t="s">
        <v>233</v>
      </c>
      <c r="C22" t="s">
        <v>234</v>
      </c>
      <c r="D22" t="s">
        <v>235</v>
      </c>
      <c r="E22" t="s">
        <v>236</v>
      </c>
      <c r="F22" s="3" t="str">
        <f>_xlfn.XLOOKUP("Explication_"&amp;B22,Feuil2!B:B,Feuil2!C:C,"Non trouvé")</f>
        <v>L'automate a essayé 5 fois de réarmer automatiquement un défaut sur le réseau Ethercat sans y parvenir. Le voyant rouge du port Ethercat de l'automate clignote en rouge.</v>
      </c>
      <c r="G22" t="str">
        <f>_xlfn.XLOOKUP("Cause_"&amp;B22,Feuil2!B:B,Feuil2!C:C,"Non trouvé")</f>
        <v>Impossibilité de réarmer l'esclave Ethercat</v>
      </c>
      <c r="H22" t="str">
        <f>_xlfn.XLOOKUP("Solution_"&amp;B22,Feuil2!B:B,Feuil2!C:C,"Non trouvé")</f>
        <v>- Vérifier l'état des esclaves Ethercat
- Si aucun défaut n'apparait sur aucun esclave Ethercat, contacter Ecat-iD</v>
      </c>
    </row>
    <row r="23" spans="1:8" ht="45" x14ac:dyDescent="0.25">
      <c r="A23" t="s">
        <v>237</v>
      </c>
      <c r="B23" t="s">
        <v>238</v>
      </c>
      <c r="C23" t="s">
        <v>239</v>
      </c>
      <c r="D23" t="s">
        <v>240</v>
      </c>
      <c r="E23" t="s">
        <v>241</v>
      </c>
      <c r="F23" s="3" t="str">
        <f>_xlfn.XLOOKUP("Explication_"&amp;B23,Feuil2!B:B,Feuil2!C:C,"Non trouvé")</f>
        <v>Il y a un défaut de communication entre l'automate et un esclave sur le réseau Ethercat (variateur, station déportée, …). Le voyant rouge du port Ethercat de l'automate clignote en rouge.</v>
      </c>
      <c r="G23" t="str">
        <f>_xlfn.XLOOKUP("Cause_"&amp;B23,Feuil2!B:B,Feuil2!C:C,"Non trouvé")</f>
        <v>- Une mauvaise connexion d'un câble Ethercat
- L'esclave Ethercat n'est pas alimenté
- Défaut du port Ethercat de l'automate</v>
      </c>
      <c r="H23" t="str">
        <f>_xlfn.XLOOKUP("Solution_"&amp;B23,Feuil2!B:B,Feuil2!C:C,"Non trouvé")</f>
        <v>- Vérifier la bonne connexion des câbles du réseau Ethercat en suivant le schéma électrique
- Vérifier la bonne alimentation des différents esclaves sur le réseau Ethercat - Si aucun défaut n'apparait sur aucun esclave Ethercat, contacter Ecat-iD</v>
      </c>
    </row>
    <row r="24" spans="1:8" ht="30" x14ac:dyDescent="0.25">
      <c r="A24" t="s">
        <v>242</v>
      </c>
      <c r="B24" t="s">
        <v>243</v>
      </c>
      <c r="C24" t="s">
        <v>209</v>
      </c>
      <c r="D24" t="s">
        <v>244</v>
      </c>
      <c r="E24" t="s">
        <v>245</v>
      </c>
      <c r="F24" s="3" t="str">
        <f>_xlfn.XLOOKUP("Explication_"&amp;B24,Feuil2!B:B,Feuil2!C:C,"Non trouvé")</f>
        <v>Il y a un défaut de communication avec l'esclave Ethercat indiqué. Le voyant rouge du port Ethercat de l'automate clignote en rouge.</v>
      </c>
      <c r="G24" t="str">
        <f>_xlfn.XLOOKUP("Cause_"&amp;B24,Feuil2!B:B,Feuil2!C:C,"Non trouvé")</f>
        <v>- Une mauvaise connexion d'un câble Ethercat
- L'esclave Ethercat n'est pas alimenté
- Défaut du port Ethercat de l'automate</v>
      </c>
      <c r="H24" t="str">
        <f>_xlfn.XLOOKUP("Solution_"&amp;B24,Feuil2!B:B,Feuil2!C:C,"Non trouvé")</f>
        <v>- Vérifier l'état de l'esclave Ethercat en question à l'aide de la page de visualisation depuis l'IHM.
- Si aucun défaut n'apparait sur l'esclave Ethercat, contacter ECATID</v>
      </c>
    </row>
    <row r="25" spans="1:8" ht="30" x14ac:dyDescent="0.25">
      <c r="A25" t="s">
        <v>246</v>
      </c>
      <c r="B25" t="s">
        <v>247</v>
      </c>
      <c r="C25" t="s">
        <v>214</v>
      </c>
      <c r="D25" t="s">
        <v>248</v>
      </c>
      <c r="E25" t="s">
        <v>249</v>
      </c>
      <c r="F25" s="3" t="str">
        <f>_xlfn.XLOOKUP("Explication_"&amp;B25,Feuil2!B:B,Feuil2!C:C,"Non trouvé")</f>
        <v>Il y a un défaut de communication avec l'esclave Ethercat indiqué. Le voyant rouge du port Ethercat de l'automate clignote en rouge.</v>
      </c>
      <c r="G25" t="str">
        <f>_xlfn.XLOOKUP("Cause_"&amp;B25,Feuil2!B:B,Feuil2!C:C,"Non trouvé")</f>
        <v>- Une mauvaise connexion d'un câble Ethercat
- L'esclave Ethercat n'est pas alimenté
- Défaut du port Ethercat de l'automate</v>
      </c>
      <c r="H25" t="str">
        <f>_xlfn.XLOOKUP("Solution_"&amp;B25,Feuil2!B:B,Feuil2!C:C,"Non trouvé")</f>
        <v>- Vérifier l'état de l'esclave Ethercat en question à l'aide de la page de visualisation depuis l'IHM.
- Si aucun défaut n'apparait sur l'esclave Ethercat, contacter ECATID</v>
      </c>
    </row>
    <row r="26" spans="1:8" ht="30" x14ac:dyDescent="0.25">
      <c r="A26" t="s">
        <v>250</v>
      </c>
      <c r="B26" t="s">
        <v>251</v>
      </c>
      <c r="C26" t="s">
        <v>219</v>
      </c>
      <c r="D26" t="s">
        <v>252</v>
      </c>
      <c r="E26" t="s">
        <v>253</v>
      </c>
      <c r="F26" s="3" t="str">
        <f>_xlfn.XLOOKUP("Explication_"&amp;B26,Feuil2!B:B,Feuil2!C:C,"Non trouvé")</f>
        <v>Il y a un défaut de communication avec l'esclave Ethercat indiqué. Le voyant rouge du port Ethercat de l'automate clignote en rouge.</v>
      </c>
      <c r="G26" t="str">
        <f>_xlfn.XLOOKUP("Cause_"&amp;B26,Feuil2!B:B,Feuil2!C:C,"Non trouvé")</f>
        <v>- Une mauvaise connexion d'un câble Ethercat
- L'esclave Ethercat n'est pas alimenté
- Défaut du port Ethercat de l'automate</v>
      </c>
      <c r="H26" t="str">
        <f>_xlfn.XLOOKUP("Solution_"&amp;B26,Feuil2!B:B,Feuil2!C:C,"Non trouvé")</f>
        <v>- Vérifier l'état de l'esclave Ethercat en question à l'aide de la page de visualisation depuis l'IHM.
- Si aucun défaut n'apparait sur l'esclave Ethercat, contacter ECATID</v>
      </c>
    </row>
    <row r="27" spans="1:8" ht="30" x14ac:dyDescent="0.25">
      <c r="A27" t="s">
        <v>254</v>
      </c>
      <c r="B27" t="s">
        <v>255</v>
      </c>
      <c r="C27" t="s">
        <v>224</v>
      </c>
      <c r="D27" t="s">
        <v>256</v>
      </c>
      <c r="E27" t="s">
        <v>257</v>
      </c>
      <c r="F27" s="3" t="str">
        <f>_xlfn.XLOOKUP("Explication_"&amp;B27,Feuil2!B:B,Feuil2!C:C,"Non trouvé")</f>
        <v>Il y a un défaut de communication avec l'esclave Ethercat indiqué. Le voyant rouge du port Ethercat de l'automate clignote en rouge.</v>
      </c>
      <c r="G27" t="str">
        <f>_xlfn.XLOOKUP("Cause_"&amp;B27,Feuil2!B:B,Feuil2!C:C,"Non trouvé")</f>
        <v>- Une mauvaise connexion d'un câble Ethercat
- L'esclave Ethercat n'est pas alimenté
- Défaut du port Ethercat de l'automate</v>
      </c>
      <c r="H27" t="str">
        <f>_xlfn.XLOOKUP("Solution_"&amp;B27,Feuil2!B:B,Feuil2!C:C,"Non trouvé")</f>
        <v>- Vérifier l'état de l'esclave Ethercat en question à l'aide de la page de visualisation depuis l'IHM.
- Si aucun défaut n'apparait sur l'esclave Ethercat, contacter ECATID</v>
      </c>
    </row>
    <row r="28" spans="1:8" ht="30" x14ac:dyDescent="0.25">
      <c r="A28" t="s">
        <v>258</v>
      </c>
      <c r="B28" t="s">
        <v>259</v>
      </c>
      <c r="C28" t="s">
        <v>229</v>
      </c>
      <c r="D28" t="s">
        <v>260</v>
      </c>
      <c r="E28" t="s">
        <v>261</v>
      </c>
      <c r="F28" s="3" t="str">
        <f>_xlfn.XLOOKUP("Explication_"&amp;B28,Feuil2!B:B,Feuil2!C:C,"Non trouvé")</f>
        <v>Il y a un défaut de communication avec l'esclave Ethercat indiqué. Le voyant rouge du port Ethercat de l'automate clignote en rouge.</v>
      </c>
      <c r="G28" t="str">
        <f>_xlfn.XLOOKUP("Cause_"&amp;B28,Feuil2!B:B,Feuil2!C:C,"Non trouvé")</f>
        <v>- Une mauvaise connexion d'un câble Ethercat
- L'esclave Ethercat n'est pas alimenté
- Défaut du port Ethercat de l'automate</v>
      </c>
      <c r="H28" t="str">
        <f>_xlfn.XLOOKUP("Solution_"&amp;B28,Feuil2!B:B,Feuil2!C:C,"Non trouvé")</f>
        <v>- Vérifier l'état de l'esclave Ethercat en question à l'aide de la page de visualisation depuis l'IHM.
- Si aucun défaut n'apparait sur l'esclave Ethercat, contacter ECATID</v>
      </c>
    </row>
    <row r="29" spans="1:8" ht="30" x14ac:dyDescent="0.25">
      <c r="A29" t="s">
        <v>262</v>
      </c>
      <c r="B29" t="s">
        <v>263</v>
      </c>
      <c r="C29" t="s">
        <v>189</v>
      </c>
      <c r="D29" t="s">
        <v>264</v>
      </c>
      <c r="E29" t="s">
        <v>265</v>
      </c>
      <c r="F29" s="3" t="str">
        <f>_xlfn.XLOOKUP("Explication_"&amp;B29,Feuil2!B:B,Feuil2!C:C,"Non trouvé")</f>
        <v>Il y a un défaut de communication avec l'esclave Ethercat indiqué. Le voyant rouge du port Ethercat de l'automate clignote en rouge.</v>
      </c>
      <c r="G29" t="str">
        <f>_xlfn.XLOOKUP("Cause_"&amp;B29,Feuil2!B:B,Feuil2!C:C,"Non trouvé")</f>
        <v>- Une mauvaise connexion d'un câble Ethercat
- L'esclave Ethercat n'est pas alimenté
- Défaut du port Ethercat de l'automate</v>
      </c>
      <c r="H29" t="str">
        <f>_xlfn.XLOOKUP("Solution_"&amp;B29,Feuil2!B:B,Feuil2!C:C,"Non trouvé")</f>
        <v>- Vérifier l'état de l'esclave Ethercat en question à l'aide de la page de visualisation depuis l'IHM.
- Si aucun défaut n'apparait sur l'esclave Ethercat, contacter ECATID</v>
      </c>
    </row>
    <row r="30" spans="1:8" ht="30" x14ac:dyDescent="0.25">
      <c r="A30" t="s">
        <v>266</v>
      </c>
      <c r="B30" t="s">
        <v>267</v>
      </c>
      <c r="C30" t="s">
        <v>209</v>
      </c>
      <c r="D30" t="s">
        <v>268</v>
      </c>
      <c r="E30" t="s">
        <v>269</v>
      </c>
      <c r="F30" s="3" t="str">
        <f>_xlfn.XLOOKUP("Explication_"&amp;B30,Feuil2!B:B,Feuil2!C:C,"Non trouvé")</f>
        <v>Il y a un défaut de communication avec l'esclave Ethercat indiqué. Le voyant rouge du port Ethercat de l'automate clignote en rouge.</v>
      </c>
      <c r="G30" t="str">
        <f>_xlfn.XLOOKUP("Cause_"&amp;B30,Feuil2!B:B,Feuil2!C:C,"Non trouvé")</f>
        <v>- Une mauvaise connexion d'un câble Ethercat
- L'esclave Ethercat n'est pas alimenté
- Défaut du port Ethercat de l'automate</v>
      </c>
      <c r="H30" t="str">
        <f>_xlfn.XLOOKUP("Solution_"&amp;B30,Feuil2!B:B,Feuil2!C:C,"Non trouvé")</f>
        <v>- Vérifier l'état de l'esclave Ethercat en question à l'aide de la page de visualisation depuis l'IHM.
- Si aucun défaut n'apparait sur l'esclave Ethercat, contacter ECATID</v>
      </c>
    </row>
    <row r="31" spans="1:8" ht="30" x14ac:dyDescent="0.25">
      <c r="A31" t="s">
        <v>270</v>
      </c>
      <c r="B31" t="s">
        <v>271</v>
      </c>
      <c r="C31" t="s">
        <v>209</v>
      </c>
      <c r="D31" t="s">
        <v>272</v>
      </c>
      <c r="E31" t="s">
        <v>273</v>
      </c>
      <c r="F31" s="3" t="str">
        <f>_xlfn.XLOOKUP("Explication_"&amp;B31,Feuil2!B:B,Feuil2!C:C,"Non trouvé")</f>
        <v>Il y a un défaut de communication avec l'esclave Ethercat indiqué. Le voyant rouge du port Ethercat de l'automate clignote en rouge.</v>
      </c>
      <c r="G31" t="str">
        <f>_xlfn.XLOOKUP("Cause_"&amp;B31,Feuil2!B:B,Feuil2!C:C,"Non trouvé")</f>
        <v>- Une mauvaise connexion d'un câble Ethercat
- L'esclave Ethercat n'est pas alimenté
- Défaut du port Ethercat de l'automate</v>
      </c>
      <c r="H31" t="str">
        <f>_xlfn.XLOOKUP("Solution_"&amp;B31,Feuil2!B:B,Feuil2!C:C,"Non trouvé")</f>
        <v>- Vérifier l'état de l'esclave Ethercat en question à l'aide de la page de visualisation depuis l'IHM.
- Si aucun défaut n'apparait sur l'esclave Ethercat, contacter ECATID</v>
      </c>
    </row>
    <row r="32" spans="1:8" x14ac:dyDescent="0.25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s="3" t="str">
        <f>_xlfn.XLOOKUP("Explication_"&amp;B32,Feuil2!B:B,Feuil2!C:C,"Non trouvé")</f>
        <v>L'automate ne communique pas avec la carte MOD X.</v>
      </c>
      <c r="G32" t="str">
        <f>_xlfn.XLOOKUP("Cause_"&amp;B32,Feuil2!B:B,Feuil2!C:C,"Non trouvé")</f>
        <v>- Mauvaise connexion de la carte sur le rack automate
- Problème d'alimentation de la carte
- Carte automate HS</v>
      </c>
      <c r="H32" t="str">
        <f>_xlfn.XLOOKUP("Solution_"&amp;B32,Feuil2!B:B,Feuil2!C:C,"Non trouvé")</f>
        <v>- Vérifier la connexion de la carte
- Vérifier que la carte est bien alimentée - Remplacer la carte</v>
      </c>
    </row>
    <row r="33" spans="1:8" x14ac:dyDescent="0.25">
      <c r="A33" t="s">
        <v>279</v>
      </c>
      <c r="B33" t="s">
        <v>280</v>
      </c>
      <c r="C33" t="s">
        <v>281</v>
      </c>
      <c r="D33" t="s">
        <v>282</v>
      </c>
      <c r="E33" t="s">
        <v>283</v>
      </c>
      <c r="F33" s="3" t="str">
        <f>_xlfn.XLOOKUP("Explication_"&amp;B33,Feuil2!B:B,Feuil2!C:C,"Non trouvé")</f>
        <v>L'automate ne communique pas avec la carte MOD X.</v>
      </c>
      <c r="G33" t="str">
        <f>_xlfn.XLOOKUP("Cause_"&amp;B33,Feuil2!B:B,Feuil2!C:C,"Non trouvé")</f>
        <v>- Mauvaise connexion de la carte sur le rack automate
- Problème d'alimentation de la carte
- Carte automate HS</v>
      </c>
      <c r="H33" t="str">
        <f>_xlfn.XLOOKUP("Solution_"&amp;B33,Feuil2!B:B,Feuil2!C:C,"Non trouvé")</f>
        <v>- Vérifier la connexion de la carte
- Vérifier que la carte est bien alimentée - Remplacer la carte</v>
      </c>
    </row>
    <row r="34" spans="1:8" x14ac:dyDescent="0.25">
      <c r="A34" t="s">
        <v>284</v>
      </c>
      <c r="B34" t="s">
        <v>285</v>
      </c>
      <c r="C34" t="s">
        <v>286</v>
      </c>
      <c r="D34" t="s">
        <v>287</v>
      </c>
      <c r="E34" t="s">
        <v>288</v>
      </c>
      <c r="F34" s="3" t="str">
        <f>_xlfn.XLOOKUP("Explication_"&amp;B34,Feuil2!B:B,Feuil2!C:C,"Non trouvé")</f>
        <v>L'automate ne communique pas avec la carte MOD X.</v>
      </c>
      <c r="G34" t="str">
        <f>_xlfn.XLOOKUP("Cause_"&amp;B34,Feuil2!B:B,Feuil2!C:C,"Non trouvé")</f>
        <v>- Mauvaise connexion de la carte sur le rack automate
- Problème d'alimentation de la carte
- Carte automate HS</v>
      </c>
      <c r="H34" t="str">
        <f>_xlfn.XLOOKUP("Solution_"&amp;B34,Feuil2!B:B,Feuil2!C:C,"Non trouvé")</f>
        <v>- Vérifier la connexion de la carte
- Vérifier que la carte est bien alimentée - Remplacer la carte</v>
      </c>
    </row>
    <row r="35" spans="1:8" x14ac:dyDescent="0.25">
      <c r="A35" t="s">
        <v>289</v>
      </c>
      <c r="B35" t="s">
        <v>290</v>
      </c>
      <c r="C35" t="s">
        <v>291</v>
      </c>
      <c r="D35" t="s">
        <v>292</v>
      </c>
      <c r="E35" t="s">
        <v>293</v>
      </c>
      <c r="F35" s="3" t="str">
        <f>_xlfn.XLOOKUP("Explication_"&amp;B35,Feuil2!B:B,Feuil2!C:C,"Non trouvé")</f>
        <v>L'automate ne communique pas avec la carte MOD X.</v>
      </c>
      <c r="G35" t="str">
        <f>_xlfn.XLOOKUP("Cause_"&amp;B35,Feuil2!B:B,Feuil2!C:C,"Non trouvé")</f>
        <v>- Mauvaise connexion de la carte sur le rack automate
- Problème d'alimentation de la carte
- Carte automate HS</v>
      </c>
      <c r="H35" t="str">
        <f>_xlfn.XLOOKUP("Solution_"&amp;B35,Feuil2!B:B,Feuil2!C:C,"Non trouvé")</f>
        <v>- Vérifier la connexion de la carte
- Vérifier que la carte est bien alimentée - Remplacer la carte</v>
      </c>
    </row>
    <row r="36" spans="1:8" x14ac:dyDescent="0.25">
      <c r="A36" t="s">
        <v>294</v>
      </c>
      <c r="B36" t="s">
        <v>295</v>
      </c>
      <c r="C36" t="s">
        <v>296</v>
      </c>
      <c r="D36" t="s">
        <v>297</v>
      </c>
      <c r="E36" t="s">
        <v>298</v>
      </c>
      <c r="F36" s="3" t="str">
        <f>_xlfn.XLOOKUP("Explication_"&amp;B36,Feuil2!B:B,Feuil2!C:C,"Non trouvé")</f>
        <v>L'automate ne communique pas avec la carte MOD X.</v>
      </c>
      <c r="G36" t="str">
        <f>_xlfn.XLOOKUP("Cause_"&amp;B36,Feuil2!B:B,Feuil2!C:C,"Non trouvé")</f>
        <v>- Mauvaise connexion de la carte sur le rack automate
- Problème d'alimentation de la carte
- Carte automate HS</v>
      </c>
      <c r="H36" t="str">
        <f>_xlfn.XLOOKUP("Solution_"&amp;B36,Feuil2!B:B,Feuil2!C:C,"Non trouvé")</f>
        <v>- Vérifier la connexion de la carte
- Vérifier que la carte est bien alimentée - Remplacer la carte</v>
      </c>
    </row>
    <row r="37" spans="1:8" x14ac:dyDescent="0.25">
      <c r="A37" t="s">
        <v>299</v>
      </c>
      <c r="B37" t="s">
        <v>300</v>
      </c>
      <c r="C37" t="s">
        <v>301</v>
      </c>
      <c r="D37" t="s">
        <v>302</v>
      </c>
      <c r="E37" t="s">
        <v>303</v>
      </c>
      <c r="F37" s="3" t="str">
        <f>_xlfn.XLOOKUP("Explication_"&amp;B37,Feuil2!B:B,Feuil2!C:C,"Non trouvé")</f>
        <v>L'automate ne communique pas avec la carte MOD X.</v>
      </c>
      <c r="G37" t="str">
        <f>_xlfn.XLOOKUP("Cause_"&amp;B37,Feuil2!B:B,Feuil2!C:C,"Non trouvé")</f>
        <v>- Mauvaise connexion de la carte sur le rack automate
- Problème d'alimentation de la carte
- Carte automate HS</v>
      </c>
      <c r="H37" t="str">
        <f>_xlfn.XLOOKUP("Solution_"&amp;B37,Feuil2!B:B,Feuil2!C:C,"Non trouvé")</f>
        <v>- Vérifier la connexion de la carte
- Vérifier que la carte est bien alimentée - Remplacer la carte</v>
      </c>
    </row>
    <row r="38" spans="1:8" x14ac:dyDescent="0.25">
      <c r="A38" t="s">
        <v>304</v>
      </c>
      <c r="B38" t="s">
        <v>305</v>
      </c>
      <c r="C38" t="s">
        <v>306</v>
      </c>
      <c r="D38" t="s">
        <v>307</v>
      </c>
      <c r="E38" t="s">
        <v>308</v>
      </c>
      <c r="F38" s="3" t="str">
        <f>_xlfn.XLOOKUP("Explication_"&amp;B38,Feuil2!B:B,Feuil2!C:C,"Non trouvé")</f>
        <v>L'automate ne communique pas avec la carte MOD X.</v>
      </c>
      <c r="G38" t="str">
        <f>_xlfn.XLOOKUP("Cause_"&amp;B38,Feuil2!B:B,Feuil2!C:C,"Non trouvé")</f>
        <v>- Mauvaise connexion de la carte sur le rack automate
- Problème d'alimentation de la carte
- Carte automate HS</v>
      </c>
      <c r="H38" t="str">
        <f>_xlfn.XLOOKUP("Solution_"&amp;B38,Feuil2!B:B,Feuil2!C:C,"Non trouvé")</f>
        <v>- Vérifier la connexion de la carte
- Vérifier que la carte est bien alimentée - Remplacer la carte</v>
      </c>
    </row>
    <row r="39" spans="1:8" x14ac:dyDescent="0.25">
      <c r="A39" t="s">
        <v>309</v>
      </c>
      <c r="B39" t="s">
        <v>310</v>
      </c>
      <c r="C39" t="s">
        <v>311</v>
      </c>
      <c r="D39" t="s">
        <v>312</v>
      </c>
      <c r="E39" t="s">
        <v>313</v>
      </c>
      <c r="F39" s="3" t="str">
        <f>_xlfn.XLOOKUP("Explication_"&amp;B39,Feuil2!B:B,Feuil2!C:C,"Non trouvé")</f>
        <v>L'automate ne communique pas avec la carte MOD X.</v>
      </c>
      <c r="G39" t="str">
        <f>_xlfn.XLOOKUP("Cause_"&amp;B39,Feuil2!B:B,Feuil2!C:C,"Non trouvé")</f>
        <v>- Mauvaise connexion de la carte sur le rack automate
- Problème d'alimentation de la carte
- Carte automate HS</v>
      </c>
      <c r="H39" t="str">
        <f>_xlfn.XLOOKUP("Solution_"&amp;B39,Feuil2!B:B,Feuil2!C:C,"Non trouvé")</f>
        <v>- Vérifier la connexion de la carte
- Vérifier que la carte est bien alimentée - Remplacer la carte</v>
      </c>
    </row>
    <row r="40" spans="1:8" x14ac:dyDescent="0.25">
      <c r="A40" t="s">
        <v>314</v>
      </c>
      <c r="B40" t="s">
        <v>315</v>
      </c>
      <c r="C40" t="s">
        <v>316</v>
      </c>
      <c r="D40" t="s">
        <v>317</v>
      </c>
      <c r="E40" t="s">
        <v>318</v>
      </c>
      <c r="F40" s="3" t="str">
        <f>_xlfn.XLOOKUP("Explication_"&amp;B40,Feuil2!B:B,Feuil2!C:C,"Non trouvé")</f>
        <v>L'automate ne communique pas avec la carte MOD X.</v>
      </c>
      <c r="G40" t="str">
        <f>_xlfn.XLOOKUP("Cause_"&amp;B40,Feuil2!B:B,Feuil2!C:C,"Non trouvé")</f>
        <v>- Mauvaise connexion de la carte sur le rack automate
- Problème d'alimentation de la carte
- Carte automate HS</v>
      </c>
      <c r="H40" t="str">
        <f>_xlfn.XLOOKUP("Solution_"&amp;B40,Feuil2!B:B,Feuil2!C:C,"Non trouvé")</f>
        <v>- Vérifier la connexion de la carte
- Vérifier que la carte est bien alimentée - Remplacer la carte</v>
      </c>
    </row>
    <row r="41" spans="1:8" x14ac:dyDescent="0.25">
      <c r="A41" t="s">
        <v>319</v>
      </c>
      <c r="B41" t="s">
        <v>320</v>
      </c>
      <c r="C41" t="s">
        <v>321</v>
      </c>
      <c r="D41" t="s">
        <v>322</v>
      </c>
      <c r="E41" t="s">
        <v>323</v>
      </c>
      <c r="F41" s="3" t="str">
        <f>_xlfn.XLOOKUP("Explication_"&amp;B41,Feuil2!B:B,Feuil2!C:C,"Non trouvé")</f>
        <v>L'automate ne communique pas avec la carte MOD X.</v>
      </c>
      <c r="G41" t="str">
        <f>_xlfn.XLOOKUP("Cause_"&amp;B41,Feuil2!B:B,Feuil2!C:C,"Non trouvé")</f>
        <v>- Mauvaise connexion de la carte sur le rack automate
- Problème d'alimentation de la carte
- Carte automate HS</v>
      </c>
      <c r="H41" t="str">
        <f>_xlfn.XLOOKUP("Solution_"&amp;B41,Feuil2!B:B,Feuil2!C:C,"Non trouvé")</f>
        <v>- Vérifier la connexion de la carte
- Vérifier que la carte est bien alimentée - Remplacer la carte</v>
      </c>
    </row>
    <row r="42" spans="1:8" x14ac:dyDescent="0.25">
      <c r="A42" t="s">
        <v>324</v>
      </c>
      <c r="B42" t="s">
        <v>325</v>
      </c>
      <c r="C42" t="s">
        <v>326</v>
      </c>
      <c r="D42" t="s">
        <v>327</v>
      </c>
      <c r="E42" t="s">
        <v>328</v>
      </c>
      <c r="F42" s="3" t="str">
        <f>_xlfn.XLOOKUP("Explication_"&amp;B42,Feuil2!B:B,Feuil2!C:C,"Non trouvé")</f>
        <v>L'automate ne communique pas avec la carte MOD X.</v>
      </c>
      <c r="G42" t="str">
        <f>_xlfn.XLOOKUP("Cause_"&amp;B42,Feuil2!B:B,Feuil2!C:C,"Non trouvé")</f>
        <v>- Mauvaise connexion de la carte sur le rack automate
- Problème d'alimentation de la carte
- Carte automate HS</v>
      </c>
      <c r="H42" t="str">
        <f>_xlfn.XLOOKUP("Solution_"&amp;B42,Feuil2!B:B,Feuil2!C:C,"Non trouvé")</f>
        <v>- Vérifier la connexion de la carte
- Vérifier que la carte est bien alimentée - Remplacer la carte</v>
      </c>
    </row>
    <row r="43" spans="1:8" ht="30" x14ac:dyDescent="0.25">
      <c r="A43" t="s">
        <v>329</v>
      </c>
      <c r="B43" t="s">
        <v>330</v>
      </c>
      <c r="C43" t="s">
        <v>331</v>
      </c>
      <c r="D43" t="s">
        <v>332</v>
      </c>
      <c r="E43" t="s">
        <v>333</v>
      </c>
      <c r="F43" s="3" t="str">
        <f>_xlfn.XLOOKUP("Explication_"&amp;B43,Feuil2!B:B,Feuil2!C:C,"Non trouvé")</f>
        <v>Le variateur ne renvoi aucune valeur d'intensité à l'automate malgré le fait que l'automate demande au variateur de faire fonctionner le moteur</v>
      </c>
      <c r="G43" t="str">
        <f>_xlfn.XLOOKUP("Cause_"&amp;B43,Feuil2!B:B,Feuil2!C:C,"Non trouvé")</f>
        <v>- Connexion électrique du moteur
- Les entrées sécurisées du variateur ne sont pas actives</v>
      </c>
      <c r="H43" t="str">
        <f>_xlfn.XLOOKUP("Solution_"&amp;B43,Feuil2!B:B,Feuil2!C:C,"Non trouvé")</f>
        <v>- Vérifier la connexion électrique du moteur
- Vérifier les entrées sécurisées du variateur</v>
      </c>
    </row>
    <row r="44" spans="1:8" ht="45" x14ac:dyDescent="0.25">
      <c r="A44" t="s">
        <v>334</v>
      </c>
      <c r="B44" t="s">
        <v>335</v>
      </c>
      <c r="C44" t="s">
        <v>336</v>
      </c>
      <c r="D44" t="s">
        <v>337</v>
      </c>
      <c r="E44" t="s">
        <v>338</v>
      </c>
      <c r="F44" s="3" t="str">
        <f>_xlfn.XLOOKUP("Explication_"&amp;B44,Feuil2!B:B,Feuil2!C:C,"Non trouvé")</f>
        <v>Le variateur renvoi un défaut à l'automate, avec un code d'erreur. Ce code d'erreur est visible sur la page visualisation sur l'IHM, mais également sur l'afficheur du variateur.</v>
      </c>
      <c r="G44" t="str">
        <f>_xlfn.XLOOKUP("Cause_"&amp;B44,Feuil2!B:B,Feuil2!C:C,"Non trouvé")</f>
        <v>Dépend du code d'erreur affiché</v>
      </c>
      <c r="H44" t="str">
        <f>_xlfn.XLOOKUP("Solution_"&amp;B44,Feuil2!B:B,Feuil2!C:C,"Non trouvé")</f>
        <v>Un pdf est accessible en cliquant sur le bouton "information défaut" sur la page visualisation du variateur. Ce pdf détaille les codes d'erreur.</v>
      </c>
    </row>
    <row r="45" spans="1:8" ht="30" x14ac:dyDescent="0.25">
      <c r="A45" t="s">
        <v>339</v>
      </c>
      <c r="B45" t="s">
        <v>340</v>
      </c>
      <c r="C45" t="s">
        <v>341</v>
      </c>
      <c r="D45" t="s">
        <v>342</v>
      </c>
      <c r="E45" t="s">
        <v>343</v>
      </c>
      <c r="F45" s="3" t="str">
        <f>_xlfn.XLOOKUP("Explication_"&amp;B45,Feuil2!B:B,Feuil2!C:C,"Non trouvé")</f>
        <v>Le variateur ne renvoi aucune valeur d'intensité à l'automate malgré le fait que l'automate demande au variateur de faire fonctionner le moteur</v>
      </c>
      <c r="G45" t="str">
        <f>_xlfn.XLOOKUP("Cause_"&amp;B45,Feuil2!B:B,Feuil2!C:C,"Non trouvé")</f>
        <v>- Connexion électrique du moteur
- Les entrées sécurisées du variateur ne sont pas actives</v>
      </c>
      <c r="H45" t="str">
        <f>_xlfn.XLOOKUP("Solution_"&amp;B45,Feuil2!B:B,Feuil2!C:C,"Non trouvé")</f>
        <v>- Vérifier la connexion électrique du moteur
- Vérifier les entrées sécurisées du variateur</v>
      </c>
    </row>
    <row r="46" spans="1:8" ht="45" x14ac:dyDescent="0.25">
      <c r="A46" t="s">
        <v>344</v>
      </c>
      <c r="B46" t="s">
        <v>345</v>
      </c>
      <c r="C46" t="s">
        <v>346</v>
      </c>
      <c r="D46" t="s">
        <v>347</v>
      </c>
      <c r="E46" t="s">
        <v>348</v>
      </c>
      <c r="F46" s="3" t="str">
        <f>_xlfn.XLOOKUP("Explication_"&amp;B46,Feuil2!B:B,Feuil2!C:C,"Non trouvé")</f>
        <v>Le variateur renvoi un défaut à l'automate, avec un code d'erreur. Ce code d'erreur est visible sur la page visualisation sur l'IHM, mais également sur l'afficheur du variateur.</v>
      </c>
      <c r="G46" t="str">
        <f>_xlfn.XLOOKUP("Cause_"&amp;B46,Feuil2!B:B,Feuil2!C:C,"Non trouvé")</f>
        <v>Dépend du code d'erreur affiché</v>
      </c>
      <c r="H46" t="str">
        <f>_xlfn.XLOOKUP("Solution_"&amp;B46,Feuil2!B:B,Feuil2!C:C,"Non trouvé")</f>
        <v>Un pdf est accessible en cliquant sur le bouton "information défaut" sur la page visualisation du variateur. Ce pdf détaille les codes d'erreur.</v>
      </c>
    </row>
    <row r="47" spans="1:8" ht="30" x14ac:dyDescent="0.25">
      <c r="A47" t="s">
        <v>349</v>
      </c>
      <c r="B47" t="s">
        <v>350</v>
      </c>
      <c r="C47" t="s">
        <v>351</v>
      </c>
      <c r="D47" t="s">
        <v>352</v>
      </c>
      <c r="E47" t="s">
        <v>353</v>
      </c>
      <c r="F47" s="3" t="str">
        <f>_xlfn.XLOOKUP("Explication_"&amp;B47,Feuil2!B:B,Feuil2!C:C,"Non trouvé")</f>
        <v>Le variateur ne renvoi aucune valeur d'intensité à l'automate malgré le fait que l'automate demande au variateur de faire fonctionner le moteur</v>
      </c>
      <c r="G47" t="str">
        <f>_xlfn.XLOOKUP("Cause_"&amp;B47,Feuil2!B:B,Feuil2!C:C,"Non trouvé")</f>
        <v>- Connexion électrique du moteur
- Les entrées sécurisées du variateur ne sont pas actives</v>
      </c>
      <c r="H47" t="str">
        <f>_xlfn.XLOOKUP("Solution_"&amp;B47,Feuil2!B:B,Feuil2!C:C,"Non trouvé")</f>
        <v>- Vérifier la connexion électrique du moteur
- Vérifier les entrées sécurisées du variateur</v>
      </c>
    </row>
    <row r="48" spans="1:8" ht="45" x14ac:dyDescent="0.25">
      <c r="A48" t="s">
        <v>354</v>
      </c>
      <c r="B48" t="s">
        <v>355</v>
      </c>
      <c r="C48" t="s">
        <v>356</v>
      </c>
      <c r="D48" t="s">
        <v>357</v>
      </c>
      <c r="E48" t="s">
        <v>358</v>
      </c>
      <c r="F48" s="3" t="str">
        <f>_xlfn.XLOOKUP("Explication_"&amp;B48,Feuil2!B:B,Feuil2!C:C,"Non trouvé")</f>
        <v>Le variateur renvoi un défaut à l'automate, avec un code d'erreur. Ce code d'erreur est visible sur la page visualisation sur l'IHM, mais également sur l'afficheur du variateur.</v>
      </c>
      <c r="G48" t="str">
        <f>_xlfn.XLOOKUP("Cause_"&amp;B48,Feuil2!B:B,Feuil2!C:C,"Non trouvé")</f>
        <v>Dépend du code d'erreur affiché</v>
      </c>
      <c r="H48" t="str">
        <f>_xlfn.XLOOKUP("Solution_"&amp;B48,Feuil2!B:B,Feuil2!C:C,"Non trouvé")</f>
        <v>Un pdf est accessible en cliquant sur le bouton "information défaut" sur la page visualisation du variateur. Ce pdf détaille les codes d'erreur.</v>
      </c>
    </row>
    <row r="49" spans="1:8" ht="30" x14ac:dyDescent="0.25">
      <c r="A49" t="s">
        <v>359</v>
      </c>
      <c r="B49" t="s">
        <v>360</v>
      </c>
      <c r="C49" t="s">
        <v>361</v>
      </c>
      <c r="D49" t="s">
        <v>362</v>
      </c>
      <c r="E49" t="s">
        <v>363</v>
      </c>
      <c r="F49" s="3" t="str">
        <f>_xlfn.XLOOKUP("Explication_"&amp;B49,Feuil2!B:B,Feuil2!C:C,"Non trouvé")</f>
        <v>Le variateur ne renvoi aucune valeur d'intensité à l'automate malgré le fait que l'automate demande au variateur de faire fonctionner le moteur</v>
      </c>
      <c r="G49" t="str">
        <f>_xlfn.XLOOKUP("Cause_"&amp;B49,Feuil2!B:B,Feuil2!C:C,"Non trouvé")</f>
        <v>- Connexion électrique du moteur
- Les entrées sécurisées du variateur ne sont pas actives</v>
      </c>
      <c r="H49" t="str">
        <f>_xlfn.XLOOKUP("Solution_"&amp;B49,Feuil2!B:B,Feuil2!C:C,"Non trouvé")</f>
        <v>- Vérifier la connexion électrique du moteur
- Vérifier les entrées sécurisées du variateur</v>
      </c>
    </row>
    <row r="50" spans="1:8" ht="45" x14ac:dyDescent="0.25">
      <c r="A50" t="s">
        <v>364</v>
      </c>
      <c r="B50" t="s">
        <v>365</v>
      </c>
      <c r="C50" t="s">
        <v>366</v>
      </c>
      <c r="D50" t="s">
        <v>367</v>
      </c>
      <c r="E50" t="s">
        <v>368</v>
      </c>
      <c r="F50" s="3" t="str">
        <f>_xlfn.XLOOKUP("Explication_"&amp;B50,Feuil2!B:B,Feuil2!C:C,"Non trouvé")</f>
        <v>Le variateur renvoi un défaut à l'automate, avec un code d'erreur. Ce code d'erreur est visible sur la page visualisation sur l'IHM, mais également sur l'afficheur du variateur.</v>
      </c>
      <c r="G50" t="str">
        <f>_xlfn.XLOOKUP("Cause_"&amp;B50,Feuil2!B:B,Feuil2!C:C,"Non trouvé")</f>
        <v>Dépend du code d'erreur affiché</v>
      </c>
      <c r="H50" t="str">
        <f>_xlfn.XLOOKUP("Solution_"&amp;B50,Feuil2!B:B,Feuil2!C:C,"Non trouvé")</f>
        <v>Un pdf est accessible en cliquant sur le bouton "information défaut" sur la page visualisation du variateur. Ce pdf détaille les codes d'erreur.</v>
      </c>
    </row>
    <row r="51" spans="1:8" ht="30" x14ac:dyDescent="0.25">
      <c r="A51" t="s">
        <v>369</v>
      </c>
      <c r="B51" t="s">
        <v>370</v>
      </c>
      <c r="C51" t="s">
        <v>371</v>
      </c>
      <c r="D51" t="s">
        <v>372</v>
      </c>
      <c r="E51" t="s">
        <v>373</v>
      </c>
      <c r="F51" s="3" t="str">
        <f>_xlfn.XLOOKUP("Explication_"&amp;B51,Feuil2!B:B,Feuil2!C:C,"Non trouvé")</f>
        <v>Le variateur ne renvoi aucune valeur d'intensité à l'automate malgré le fait que l'automate demande au variateur de faire fonctionner le moteur</v>
      </c>
      <c r="G51" t="str">
        <f>_xlfn.XLOOKUP("Cause_"&amp;B51,Feuil2!B:B,Feuil2!C:C,"Non trouvé")</f>
        <v>- Connexion électrique du moteur
- Les entrées sécurisées du variateur ne sont pas actives</v>
      </c>
      <c r="H51" t="str">
        <f>_xlfn.XLOOKUP("Solution_"&amp;B51,Feuil2!B:B,Feuil2!C:C,"Non trouvé")</f>
        <v>- Vérifier la connexion électrique du moteur
- Vérifier les entrées sécurisées du variateur</v>
      </c>
    </row>
    <row r="52" spans="1:8" ht="45" x14ac:dyDescent="0.25">
      <c r="A52" t="s">
        <v>374</v>
      </c>
      <c r="B52" t="s">
        <v>375</v>
      </c>
      <c r="C52" t="s">
        <v>376</v>
      </c>
      <c r="D52" t="s">
        <v>377</v>
      </c>
      <c r="E52" t="s">
        <v>378</v>
      </c>
      <c r="F52" s="3" t="str">
        <f>_xlfn.XLOOKUP("Explication_"&amp;B52,Feuil2!B:B,Feuil2!C:C,"Non trouvé")</f>
        <v>Le variateur renvoi un défaut à l'automate, avec un code d'erreur. Ce code d'erreur est visible sur la page visualisation sur l'IHM, mais également sur l'afficheur du variateur.</v>
      </c>
      <c r="G52" t="str">
        <f>_xlfn.XLOOKUP("Cause_"&amp;B52,Feuil2!B:B,Feuil2!C:C,"Non trouvé")</f>
        <v>Dépend du code d'erreur affiché</v>
      </c>
      <c r="H52" t="str">
        <f>_xlfn.XLOOKUP("Solution_"&amp;B52,Feuil2!B:B,Feuil2!C:C,"Non trouvé")</f>
        <v>Un pdf est accessible en cliquant sur le bouton "information défaut" sur la page visualisation du variateur. Ce pdf détaille les codes d'erreur.</v>
      </c>
    </row>
    <row r="53" spans="1:8" ht="30" x14ac:dyDescent="0.25">
      <c r="A53" t="s">
        <v>379</v>
      </c>
      <c r="B53" t="s">
        <v>380</v>
      </c>
      <c r="C53" t="s">
        <v>381</v>
      </c>
      <c r="D53" t="s">
        <v>382</v>
      </c>
      <c r="E53" t="s">
        <v>383</v>
      </c>
      <c r="F53" s="3" t="str">
        <f>_xlfn.XLOOKUP("Explication_"&amp;B53,Feuil2!B:B,Feuil2!C:C,"Non trouvé")</f>
        <v>Le variateur ne renvoi aucune valeur d'intensité à l'automate malgré le fait que l'automate demande au variateur de faire fonctionner le moteur</v>
      </c>
      <c r="G53" t="str">
        <f>_xlfn.XLOOKUP("Cause_"&amp;B53,Feuil2!B:B,Feuil2!C:C,"Non trouvé")</f>
        <v>- Connexion électrique du moteur
- Les entrées sécurisées du variateur ne sont pas actives</v>
      </c>
      <c r="H53" t="str">
        <f>_xlfn.XLOOKUP("Solution_"&amp;B53,Feuil2!B:B,Feuil2!C:C,"Non trouvé")</f>
        <v>- Vérifier la connexion électrique du moteur
- Vérifier les entrées sécurisées du variateur</v>
      </c>
    </row>
    <row r="54" spans="1:8" ht="45" x14ac:dyDescent="0.25">
      <c r="A54" t="s">
        <v>384</v>
      </c>
      <c r="B54" t="s">
        <v>385</v>
      </c>
      <c r="C54" t="s">
        <v>386</v>
      </c>
      <c r="D54" t="s">
        <v>387</v>
      </c>
      <c r="E54" t="s">
        <v>388</v>
      </c>
      <c r="F54" s="3" t="str">
        <f>_xlfn.XLOOKUP("Explication_"&amp;B54,Feuil2!B:B,Feuil2!C:C,"Non trouvé")</f>
        <v>Le variateur renvoi un défaut à l'automate, avec un code d'erreur. Ce code d'erreur est visible sur la page visualisation sur l'IHM, mais également sur l'afficheur du variateur.</v>
      </c>
      <c r="G54" t="str">
        <f>_xlfn.XLOOKUP("Cause_"&amp;B54,Feuil2!B:B,Feuil2!C:C,"Non trouvé")</f>
        <v>Dépend du code d'erreur affiché</v>
      </c>
      <c r="H54" t="str">
        <f>_xlfn.XLOOKUP("Solution_"&amp;B54,Feuil2!B:B,Feuil2!C:C,"Non trouvé")</f>
        <v>Un pdf est accessible en cliquant sur le bouton "information défaut" sur la page visualisation du variateur. Ce pdf détaille les codes d'erreur.</v>
      </c>
    </row>
    <row r="55" spans="1:8" ht="30" x14ac:dyDescent="0.25">
      <c r="A55" t="s">
        <v>389</v>
      </c>
      <c r="B55" t="s">
        <v>390</v>
      </c>
      <c r="C55" t="s">
        <v>391</v>
      </c>
      <c r="D55" t="s">
        <v>392</v>
      </c>
      <c r="E55" t="s">
        <v>393</v>
      </c>
      <c r="F55" s="3" t="str">
        <f>_xlfn.XLOOKUP("Explication_"&amp;B55,Feuil2!B:B,Feuil2!C:C,"Non trouvé")</f>
        <v>Le variateur ne renvoi aucune valeur d'intensité à l'automate malgré le fait que l'automate demande au variateur de faire fonctionner le moteur</v>
      </c>
      <c r="G55" t="str">
        <f>_xlfn.XLOOKUP("Cause_"&amp;B55,Feuil2!B:B,Feuil2!C:C,"Non trouvé")</f>
        <v>- Connexion électrique du moteur
- Les entrées sécurisées du variateur ne sont pas actives</v>
      </c>
      <c r="H55" t="str">
        <f>_xlfn.XLOOKUP("Solution_"&amp;B55,Feuil2!B:B,Feuil2!C:C,"Non trouvé")</f>
        <v>- Vérifier la connexion électrique du moteur
- Vérifier les entrées sécurisées du variateur</v>
      </c>
    </row>
    <row r="56" spans="1:8" ht="45" x14ac:dyDescent="0.25">
      <c r="A56" t="s">
        <v>394</v>
      </c>
      <c r="B56" t="s">
        <v>395</v>
      </c>
      <c r="C56" t="s">
        <v>396</v>
      </c>
      <c r="D56" t="s">
        <v>397</v>
      </c>
      <c r="E56" t="s">
        <v>398</v>
      </c>
      <c r="F56" s="3" t="str">
        <f>_xlfn.XLOOKUP("Explication_"&amp;B56,Feuil2!B:B,Feuil2!C:C,"Non trouvé")</f>
        <v>Le variateur renvoi un défaut à l'automate, avec un code d'erreur. Ce code d'erreur est visible sur la page visualisation sur l'IHM, mais également sur l'afficheur du variateur.</v>
      </c>
      <c r="G56" t="str">
        <f>_xlfn.XLOOKUP("Cause_"&amp;B56,Feuil2!B:B,Feuil2!C:C,"Non trouvé")</f>
        <v>Dépend du code d'erreur affiché</v>
      </c>
      <c r="H56" t="str">
        <f>_xlfn.XLOOKUP("Solution_"&amp;B56,Feuil2!B:B,Feuil2!C:C,"Non trouvé")</f>
        <v>Un pdf est accessible en cliquant sur le bouton "information défaut" sur la page visualisation du variateur. Ce pdf détaille les codes d'erreur.</v>
      </c>
    </row>
    <row r="57" spans="1:8" ht="30" x14ac:dyDescent="0.25">
      <c r="A57" t="s">
        <v>399</v>
      </c>
      <c r="B57" t="s">
        <v>400</v>
      </c>
      <c r="C57" t="s">
        <v>401</v>
      </c>
      <c r="D57" t="s">
        <v>402</v>
      </c>
      <c r="E57" t="s">
        <v>403</v>
      </c>
      <c r="F57" s="3" t="str">
        <f>_xlfn.XLOOKUP("Explication_"&amp;B57,Feuil2!B:B,Feuil2!C:C,"Non trouvé")</f>
        <v>Une sortie du module de protection électronique Q121 s'est coupée car il y a eu une surintensité sur une de ses voies.</v>
      </c>
      <c r="G57" t="str">
        <f>_xlfn.XLOOKUP("Cause_"&amp;B57,Feuil2!B:B,Feuil2!C:C,"Non trouvé")</f>
        <v>- Mauvais réglage de l'intensité de la voie (le voyant passe en orange, puis en rouge)
- Court-circuit sur la voie (le voyant passe directement en rouge)</v>
      </c>
      <c r="H57" t="str">
        <f>_xlfn.XLOOKUP("Solution_"&amp;B57,Feuil2!B:B,Feuil2!C:C,"Non trouvé")</f>
        <v>- Ajuster la protection thermique de la voie à l'aide de la vis proche du voyant
- Eliminer le court-circuit puis appuyer sur le voyant du disjoncteur électronique pour réarmer la voie</v>
      </c>
    </row>
    <row r="58" spans="1:8" ht="30" x14ac:dyDescent="0.25">
      <c r="A58" t="s">
        <v>404</v>
      </c>
      <c r="B58" t="s">
        <v>405</v>
      </c>
      <c r="C58" t="s">
        <v>406</v>
      </c>
      <c r="D58" t="s">
        <v>407</v>
      </c>
      <c r="E58" t="s">
        <v>408</v>
      </c>
      <c r="F58" s="3" t="str">
        <f>_xlfn.XLOOKUP("Explication_"&amp;B58,Feuil2!B:B,Feuil2!C:C,"Non trouvé")</f>
        <v>Une sortie du module de protection électronique Q221 s'est coupée car il y a eu une surintensité sur une de ses voies.</v>
      </c>
      <c r="G58" t="str">
        <f>_xlfn.XLOOKUP("Cause_"&amp;B58,Feuil2!B:B,Feuil2!C:C,"Non trouvé")</f>
        <v>- Mauvais réglage de l'intensité de la voie (le voyant passe en orange, puis en rouge)
- Court-circuit sur la voie (le voyant passe directement en rouge)</v>
      </c>
      <c r="H58" t="str">
        <f>_xlfn.XLOOKUP("Solution_"&amp;B58,Feuil2!B:B,Feuil2!C:C,"Non trouvé")</f>
        <v>- Ajuster la protection thermique de la voie à l'aide de la vis proche du voyant
- Eliminer le court-circuit puis appuyer sur le voyant du disjoncteur électronique pour réarmer la voie</v>
      </c>
    </row>
    <row r="59" spans="1:8" ht="30" x14ac:dyDescent="0.25">
      <c r="A59" t="s">
        <v>409</v>
      </c>
      <c r="B59" t="s">
        <v>410</v>
      </c>
      <c r="C59" t="s">
        <v>411</v>
      </c>
      <c r="D59" t="s">
        <v>412</v>
      </c>
      <c r="E59" t="s">
        <v>413</v>
      </c>
      <c r="F59" s="3" t="str">
        <f>_xlfn.XLOOKUP("Explication_"&amp;B59,Feuil2!B:B,Feuil2!C:C,"Non trouvé")</f>
        <v>Une sortie du module de protection électronique Q321 s'est coupée car il y a eu une surintensité sur une de ses voies.</v>
      </c>
      <c r="G59" t="str">
        <f>_xlfn.XLOOKUP("Cause_"&amp;B59,Feuil2!B:B,Feuil2!C:C,"Non trouvé")</f>
        <v>- Mauvais réglage de l'intensité de la voie (le voyant passe en orange, puis en rouge)
- Court-circuit sur la voie (le voyant passe directement en rouge)</v>
      </c>
      <c r="H59" t="str">
        <f>_xlfn.XLOOKUP("Solution_"&amp;B59,Feuil2!B:B,Feuil2!C:C,"Non trouvé")</f>
        <v>- Ajuster la protection thermique de la voie à l'aide de la vis proche du voyant
- Eliminer le court-circuit puis appuyer sur le voyant du disjoncteur électronique pour réarmer la voie</v>
      </c>
    </row>
    <row r="60" spans="1:8" ht="75" x14ac:dyDescent="0.25">
      <c r="A60" t="s">
        <v>414</v>
      </c>
      <c r="B60" t="s">
        <v>415</v>
      </c>
      <c r="C60" t="s">
        <v>416</v>
      </c>
      <c r="D60" t="s">
        <v>417</v>
      </c>
      <c r="E60" t="s">
        <v>418</v>
      </c>
      <c r="F60" s="3" t="str">
        <f>_xlfn.XLOOKUP("Explication_"&amp;B60,Feuil2!B:B,Feuil2!C:C,"Non trouvé")</f>
        <v>La bonne position de la goulotte d'aiguillage en sortie de la machine peut être contrôlée par :
- un capteur inductif
- un capteur de sécurité rectangulaire (jaune)
- les 2</v>
      </c>
      <c r="G60" t="str">
        <f>_xlfn.XLOOKUP("Cause_"&amp;B60,Feuil2!B:B,Feuil2!C:C,"Non trouvé")</f>
        <v>- Mauvais réglage du / des capteur(s)
- Goulotte mal positionnée
- Dysfonctionnement du / des capteur(s)</v>
      </c>
      <c r="H60" t="str">
        <f>_xlfn.XLOOKUP("Solution_"&amp;B60,Feuil2!B:B,Feuil2!C:C,"Non trouvé")</f>
        <v>- Vérifier le bon réglage du / des capteur(s)
- Vérifier la bonne position de la goulotte - Changer le(s) capteur(s) défectueux</v>
      </c>
    </row>
    <row r="61" spans="1:8" ht="30" x14ac:dyDescent="0.25">
      <c r="A61" t="s">
        <v>419</v>
      </c>
      <c r="B61" t="s">
        <v>420</v>
      </c>
      <c r="C61" t="s">
        <v>421</v>
      </c>
      <c r="D61" t="s">
        <v>422</v>
      </c>
      <c r="E61" t="s">
        <v>423</v>
      </c>
      <c r="F61" s="3" t="str">
        <f>_xlfn.XLOOKUP("Explication_"&amp;B61,Feuil2!B:B,Feuil2!C:C,"Non trouvé")</f>
        <v>En mode convoyeur, les systèmes d'oscillation doivent aller en petite vitesse jusqu'au capteur, puis les dépasser légèrement</v>
      </c>
      <c r="G61" t="str">
        <f>_xlfn.XLOOKUP("Cause_"&amp;B61,Feuil2!B:B,Feuil2!C:C,"Non trouvé")</f>
        <v>- Mauvais réglage du drapeau de détection
- Capteur mal réglé
- Dysfonctionnement du capteur</v>
      </c>
      <c r="H61" t="str">
        <f>_xlfn.XLOOKUP("Solution_"&amp;B61,Feuil2!B:B,Feuil2!C:C,"Non trouvé")</f>
        <v>(- Vérifier le positionnement du drapeau de détection
- Vérifier le bon réglage du capteur - Changer le capteur s'il est défectueux</v>
      </c>
    </row>
    <row r="62" spans="1:8" ht="30" x14ac:dyDescent="0.25">
      <c r="A62" t="s">
        <v>424</v>
      </c>
      <c r="B62" t="s">
        <v>425</v>
      </c>
      <c r="C62" t="s">
        <v>426</v>
      </c>
      <c r="D62" t="s">
        <v>427</v>
      </c>
      <c r="E62" t="s">
        <v>423</v>
      </c>
      <c r="F62" s="3" t="str">
        <f>_xlfn.XLOOKUP("Explication_"&amp;B62,Feuil2!B:B,Feuil2!C:C,"Non trouvé")</f>
        <v>En mode sexage, les systèmes d'oscillation tournent et donc le capteur doit souvent changer d'état</v>
      </c>
      <c r="G62" t="str">
        <f>_xlfn.XLOOKUP("Cause_"&amp;B62,Feuil2!B:B,Feuil2!C:C,"Non trouvé")</f>
        <v>- Mauvais réglage du drapeau de détection
- Capteur mal réglé
- Dysfonctionnement du capteur</v>
      </c>
      <c r="H62" t="str">
        <f>_xlfn.XLOOKUP("Solution_"&amp;B62,Feuil2!B:B,Feuil2!C:C,"Non trouvé")</f>
        <v>(- Vérifier le positionnement du drapeau de détection
- Vérifier le bon réglage du capteur - Changer le capteur s'il est défectueux</v>
      </c>
    </row>
    <row r="63" spans="1:8" ht="30" x14ac:dyDescent="0.25">
      <c r="A63" t="s">
        <v>428</v>
      </c>
      <c r="B63" t="s">
        <v>429</v>
      </c>
      <c r="C63" t="s">
        <v>430</v>
      </c>
      <c r="D63" t="s">
        <v>431</v>
      </c>
      <c r="E63" t="s">
        <v>432</v>
      </c>
      <c r="F63" s="3" t="str">
        <f>_xlfn.XLOOKUP("Explication_"&amp;B63,Feuil2!B:B,Feuil2!C:C,"Non trouvé")</f>
        <v>En mode convoyeur, les systèmes d'oscillation doivent aller en petite vitesse jusqu'au capteur, puis les dépasser légèrement</v>
      </c>
      <c r="G63" t="str">
        <f>_xlfn.XLOOKUP("Cause_"&amp;B63,Feuil2!B:B,Feuil2!C:C,"Non trouvé")</f>
        <v>- Mauvais réglage du drapeau de détection
- Capteur mal réglé
- Dysfonctionnement du capteur</v>
      </c>
      <c r="H63" t="str">
        <f>_xlfn.XLOOKUP("Solution_"&amp;B63,Feuil2!B:B,Feuil2!C:C,"Non trouvé")</f>
        <v>(- Vérifier le positionnement du drapeau de détection
- Vérifier le bon réglage du capteur - Changer le capteur s'il est défectueux</v>
      </c>
    </row>
    <row r="64" spans="1:8" ht="30" x14ac:dyDescent="0.25">
      <c r="A64" t="s">
        <v>433</v>
      </c>
      <c r="B64" t="s">
        <v>434</v>
      </c>
      <c r="C64" t="s">
        <v>435</v>
      </c>
      <c r="D64" t="s">
        <v>436</v>
      </c>
      <c r="E64" t="s">
        <v>432</v>
      </c>
      <c r="F64" s="3" t="str">
        <f>_xlfn.XLOOKUP("Explication_"&amp;B64,Feuil2!B:B,Feuil2!C:C,"Non trouvé")</f>
        <v>En mode sexage, les systèmes d'oscillation tournent et donc le capteur doit souvent changer d'état</v>
      </c>
      <c r="G64" t="str">
        <f>_xlfn.XLOOKUP("Cause_"&amp;B64,Feuil2!B:B,Feuil2!C:C,"Non trouvé")</f>
        <v>- Mauvais réglage du drapeau de détection
- Capteur mal réglé
- Dysfonctionnement du capteur</v>
      </c>
      <c r="H64" t="str">
        <f>_xlfn.XLOOKUP("Solution_"&amp;B64,Feuil2!B:B,Feuil2!C:C,"Non trouvé")</f>
        <v>(- Vérifier le positionnement du drapeau de détection
- Vérifier le bon réglage du capteur - Changer le capteur s'il est défectueux</v>
      </c>
    </row>
    <row r="65" spans="1:8" ht="30" x14ac:dyDescent="0.25">
      <c r="A65" t="s">
        <v>437</v>
      </c>
      <c r="B65" t="s">
        <v>438</v>
      </c>
      <c r="C65" t="s">
        <v>439</v>
      </c>
      <c r="D65" t="s">
        <v>440</v>
      </c>
      <c r="E65" t="s">
        <v>441</v>
      </c>
      <c r="F65" s="3" t="str">
        <f>_xlfn.XLOOKUP("Explication_"&amp;B65,Feuil2!B:B,Feuil2!C:C,"Non trouvé")</f>
        <v xml:space="preserve">La température dans l'armoire électrique est surveillée à l'aide d'un capteur situé dans celle-ci </v>
      </c>
      <c r="G65" t="str">
        <f>_xlfn.XLOOKUP("Cause_"&amp;B65,Feuil2!B:B,Feuil2!C:C,"Non trouvé")</f>
        <v>Mauvaise ventilation de l'armoire</v>
      </c>
      <c r="H65" t="str">
        <f>_xlfn.XLOOKUP("Solution_"&amp;B65,Feuil2!B:B,Feuil2!C:C,"Non trouvé")</f>
        <v>- Vérifier le bon fonctionnement des ventilateurs
- Nettoyer et / ou changer les filtres si nécessaire</v>
      </c>
    </row>
    <row r="66" spans="1:8" x14ac:dyDescent="0.25">
      <c r="A66" t="s">
        <v>442</v>
      </c>
      <c r="B66" t="s">
        <v>443</v>
      </c>
      <c r="C66" t="s">
        <v>444</v>
      </c>
      <c r="D66" t="s">
        <v>445</v>
      </c>
      <c r="E66" t="s">
        <v>446</v>
      </c>
      <c r="F66" s="3" t="str">
        <f>_xlfn.XLOOKUP("Explication_"&amp;B66,Feuil2!B:B,Feuil2!C:C,"Non trouvé")</f>
        <v>L'automate ne communique pas avec le capteur</v>
      </c>
      <c r="G66" t="str">
        <f>_xlfn.XLOOKUP("Cause_"&amp;B66,Feuil2!B:B,Feuil2!C:C,"Non trouvé")</f>
        <v>- Capteur défectueux
- Câble défectueux</v>
      </c>
      <c r="H66" t="str">
        <f>_xlfn.XLOOKUP("Solution_"&amp;B66,Feuil2!B:B,Feuil2!C:C,"Non trouvé")</f>
        <v>- Vérifier l'état du capteur et son câble et changer ce qui doit l'être
- Si le problème persiste, contacter Ecat-iD</v>
      </c>
    </row>
    <row r="67" spans="1:8" ht="30" x14ac:dyDescent="0.25">
      <c r="A67" t="s">
        <v>447</v>
      </c>
      <c r="B67" t="s">
        <v>448</v>
      </c>
      <c r="C67" t="s">
        <v>449</v>
      </c>
      <c r="D67" t="s">
        <v>450</v>
      </c>
      <c r="E67" t="s">
        <v>451</v>
      </c>
      <c r="F67" s="3" t="str">
        <f>_xlfn.XLOOKUP("Explication_"&amp;B67,Feuil2!B:B,Feuil2!C:C,"Non trouvé")</f>
        <v xml:space="preserve">La température dans l'armoire informatique est surveillée à l'aide d'un capteur situé dans celle-ci </v>
      </c>
      <c r="G67" t="str">
        <f>_xlfn.XLOOKUP("Cause_"&amp;B67,Feuil2!B:B,Feuil2!C:C,"Non trouvé")</f>
        <v>Mauvais refroidissement de l'armoire</v>
      </c>
      <c r="H67" t="str">
        <f>_xlfn.XLOOKUP("Solution_"&amp;B67,Feuil2!B:B,Feuil2!C:C,"Non trouvé")</f>
        <v>Vérifier le bon fonctionnement du système de refroidissement de l'armoire</v>
      </c>
    </row>
    <row r="68" spans="1:8" x14ac:dyDescent="0.25">
      <c r="A68" t="s">
        <v>452</v>
      </c>
      <c r="B68" t="s">
        <v>453</v>
      </c>
      <c r="C68" t="s">
        <v>454</v>
      </c>
      <c r="D68" t="s">
        <v>455</v>
      </c>
      <c r="E68" t="s">
        <v>456</v>
      </c>
      <c r="F68" s="3" t="str">
        <f>_xlfn.XLOOKUP("Explication_"&amp;B68,Feuil2!B:B,Feuil2!C:C,"Non trouvé")</f>
        <v>L'automate ne communique pas avec le capteur</v>
      </c>
      <c r="G68" t="str">
        <f>_xlfn.XLOOKUP("Cause_"&amp;B68,Feuil2!B:B,Feuil2!C:C,"Non trouvé")</f>
        <v>- Capteur défectueux
- Câble défectueux</v>
      </c>
      <c r="H68" t="str">
        <f>_xlfn.XLOOKUP("Solution_"&amp;B68,Feuil2!B:B,Feuil2!C:C,"Non trouvé")</f>
        <v>- Vérifier l'état du capteur et son câble et changer ce qui doit l'être
- Si le problème persiste, contacter Ecat-iD</v>
      </c>
    </row>
    <row r="69" spans="1:8" x14ac:dyDescent="0.25">
      <c r="A69" t="s">
        <v>457</v>
      </c>
      <c r="B69" t="s">
        <v>458</v>
      </c>
      <c r="C69" t="s">
        <v>459</v>
      </c>
      <c r="D69" t="s">
        <v>460</v>
      </c>
      <c r="E69" t="s">
        <v>461</v>
      </c>
      <c r="F69" s="3" t="str">
        <f>_xlfn.XLOOKUP("Explication_"&amp;B69,Feuil2!B:B,Feuil2!C:C,"Non trouvé")</f>
        <v>L'automate ne communique pas avec le capteur</v>
      </c>
      <c r="G69" t="str">
        <f>_xlfn.XLOOKUP("Cause_"&amp;B69,Feuil2!B:B,Feuil2!C:C,"Non trouvé")</f>
        <v>- Capteur défectueux
- Câble défectueux</v>
      </c>
      <c r="H69" t="str">
        <f>_xlfn.XLOOKUP("Solution_"&amp;B69,Feuil2!B:B,Feuil2!C:C,"Non trouvé")</f>
        <v>- Vérifier l'état du capteur et son câble et changer ce qui doit l'être
- Si le problème persiste, contacter Ecat-iD</v>
      </c>
    </row>
    <row r="70" spans="1:8" ht="30" x14ac:dyDescent="0.25">
      <c r="A70" t="s">
        <v>462</v>
      </c>
      <c r="B70" t="s">
        <v>463</v>
      </c>
      <c r="C70" t="s">
        <v>464</v>
      </c>
      <c r="D70" t="s">
        <v>465</v>
      </c>
      <c r="E70" t="s">
        <v>466</v>
      </c>
      <c r="F70" s="3" t="str">
        <f>_xlfn.XLOOKUP("Explication_"&amp;B70,Feuil2!B:B,Feuil2!C:C,"Non trouvé")</f>
        <v>Le variateur ne renvoi aucune valeur d'intensité à l'automate malgré le fait que l'automate demande au variateur de faire fonctionner le moteur</v>
      </c>
      <c r="G70" t="str">
        <f>_xlfn.XLOOKUP("Cause_"&amp;B70,Feuil2!B:B,Feuil2!C:C,"Non trouvé")</f>
        <v>- Connexion électrique du moteur
- Les entrées sécurisées du variateur ne sont pas actives</v>
      </c>
      <c r="H70" t="str">
        <f>_xlfn.XLOOKUP("Solution_"&amp;B70,Feuil2!B:B,Feuil2!C:C,"Non trouvé")</f>
        <v>- Vérifier la connexion électrique du moteur
- Vérifier les entrées sécurisées du variateur</v>
      </c>
    </row>
    <row r="71" spans="1:8" ht="45" x14ac:dyDescent="0.25">
      <c r="A71" t="s">
        <v>467</v>
      </c>
      <c r="B71" t="s">
        <v>468</v>
      </c>
      <c r="C71" t="s">
        <v>469</v>
      </c>
      <c r="D71" t="s">
        <v>470</v>
      </c>
      <c r="E71" t="s">
        <v>471</v>
      </c>
      <c r="F71" s="3" t="str">
        <f>_xlfn.XLOOKUP("Explication_"&amp;B71,Feuil2!B:B,Feuil2!C:C,"Non trouvé")</f>
        <v>Le variateur renvoi un défaut à l'automate, avec un code d'erreur. Ce code d'erreur est visible sur la page visualisation sur l'IHM, mais également sur l'afficheur du variateur.</v>
      </c>
      <c r="G71" t="str">
        <f>_xlfn.XLOOKUP("Cause_"&amp;B71,Feuil2!B:B,Feuil2!C:C,"Non trouvé")</f>
        <v>Dépend du code d'erreur affiché</v>
      </c>
      <c r="H71" t="str">
        <f>_xlfn.XLOOKUP("Solution_"&amp;B71,Feuil2!B:B,Feuil2!C:C,"Non trouvé")</f>
        <v>Un pdf est accessible en cliquant sur le bouton "information défaut" sur la page visualisation du variateur. Ce pdf détaille les codes d'erreur.</v>
      </c>
    </row>
    <row r="72" spans="1:8" ht="45" x14ac:dyDescent="0.25">
      <c r="A72" t="s">
        <v>472</v>
      </c>
      <c r="B72" t="s">
        <v>473</v>
      </c>
      <c r="C72" t="s">
        <v>474</v>
      </c>
      <c r="D72" t="s">
        <v>475</v>
      </c>
      <c r="E72" t="s">
        <v>476</v>
      </c>
      <c r="F72" s="3" t="str">
        <f>_xlfn.XLOOKUP("Explication_"&amp;B72,Feuil2!B:B,Feuil2!C:C,"Non trouvé")</f>
        <v>Une information est renvoyée par le moteur à l'automate, en plus des retours déjà fait par le variateur. Il n'y a cette information que pour les moteurs Interoll qui sont à l'intérieur de la machine.</v>
      </c>
      <c r="G72" t="str">
        <f>_xlfn.XLOOKUP("Cause_"&amp;B72,Feuil2!B:B,Feuil2!C:C,"Non trouvé")</f>
        <v>- Blocage mécanique
- Mauvais contact au niveau de l'information remontée à l'automate</v>
      </c>
      <c r="H72" t="str">
        <f>_xlfn.XLOOKUP("Solution_"&amp;B72,Feuil2!B:B,Feuil2!C:C,"Non trouvé")</f>
        <v>- Vérifier la mécanique
- Vérifier le câblage</v>
      </c>
    </row>
    <row r="73" spans="1:8" ht="45" x14ac:dyDescent="0.25">
      <c r="A73" t="s">
        <v>477</v>
      </c>
      <c r="B73" t="s">
        <v>478</v>
      </c>
      <c r="C73" t="s">
        <v>479</v>
      </c>
      <c r="D73" t="s">
        <v>480</v>
      </c>
      <c r="E73" t="s">
        <v>481</v>
      </c>
      <c r="F73" s="3" t="str">
        <f>_xlfn.XLOOKUP("Explication_"&amp;B73,Feuil2!B:B,Feuil2!C:C,"Non trouvé")</f>
        <v>Une information est renvoyée par le moteur à l'automate, en plus des retours déjà fait par le variateur. Il n'y a cette information que pour les moteurs Interoll qui sont à l'intérieur de la machine.</v>
      </c>
      <c r="G73" t="str">
        <f>_xlfn.XLOOKUP("Cause_"&amp;B73,Feuil2!B:B,Feuil2!C:C,"Non trouvé")</f>
        <v>- Blocage mécanique
- Mauvais contact au niveau de l'information remontée à l'automate</v>
      </c>
      <c r="H73" t="str">
        <f>_xlfn.XLOOKUP("Solution_"&amp;B73,Feuil2!B:B,Feuil2!C:C,"Non trouvé")</f>
        <v>- Vérifier la mécanique
- Vérifier le câblage</v>
      </c>
    </row>
    <row r="74" spans="1:8" ht="45" x14ac:dyDescent="0.25">
      <c r="A74" t="s">
        <v>482</v>
      </c>
      <c r="B74" t="s">
        <v>483</v>
      </c>
      <c r="C74" t="s">
        <v>484</v>
      </c>
      <c r="D74" t="s">
        <v>485</v>
      </c>
      <c r="E74" t="s">
        <v>486</v>
      </c>
      <c r="F74" s="3" t="str">
        <f>_xlfn.XLOOKUP("Explication_"&amp;B74,Feuil2!B:B,Feuil2!C:C,"Non trouvé")</f>
        <v>Une information est renvoyée par le moteur à l'automate, en plus des retours déjà fait par le variateur. Il n'y a cette information que pour les moteurs Interoll qui sont à l'intérieur de la machine.</v>
      </c>
      <c r="G74" t="str">
        <f>_xlfn.XLOOKUP("Cause_"&amp;B74,Feuil2!B:B,Feuil2!C:C,"Non trouvé")</f>
        <v>- Blocage mécanique
- Mauvais contact au niveau de l'information remontée à l'automate</v>
      </c>
      <c r="H74" t="str">
        <f>_xlfn.XLOOKUP("Solution_"&amp;B74,Feuil2!B:B,Feuil2!C:C,"Non trouvé")</f>
        <v>- Vérifier la mécanique
- Vérifier le câblage</v>
      </c>
    </row>
    <row r="75" spans="1:8" ht="30" x14ac:dyDescent="0.25">
      <c r="A75" t="s">
        <v>487</v>
      </c>
      <c r="B75" t="s">
        <v>488</v>
      </c>
      <c r="C75" t="s">
        <v>489</v>
      </c>
      <c r="D75" t="s">
        <v>490</v>
      </c>
      <c r="E75" t="s">
        <v>491</v>
      </c>
      <c r="F75" s="3" t="str">
        <f>_xlfn.XLOOKUP("Explication_"&amp;B75,Feuil2!B:B,Feuil2!C:C,"Non trouvé")</f>
        <v>Le variateur ne renvoi aucune valeur d'intensité à l'automate malgré le fait que l'automate demande au variateur de faire fonctionner le moteur</v>
      </c>
      <c r="G75" t="str">
        <f>_xlfn.XLOOKUP("Cause_"&amp;B75,Feuil2!B:B,Feuil2!C:C,"Non trouvé")</f>
        <v>- Connexion électrique du moteur
- Les entrées sécurisées du variateur ne sont pas actives</v>
      </c>
      <c r="H75" t="str">
        <f>_xlfn.XLOOKUP("Solution_"&amp;B75,Feuil2!B:B,Feuil2!C:C,"Non trouvé")</f>
        <v>- Vérifier la connexion électrique du moteur
- Vérifier les entrées sécurisées du variateur</v>
      </c>
    </row>
    <row r="76" spans="1:8" ht="45" x14ac:dyDescent="0.25">
      <c r="A76" t="s">
        <v>492</v>
      </c>
      <c r="B76" t="s">
        <v>493</v>
      </c>
      <c r="C76" t="s">
        <v>494</v>
      </c>
      <c r="D76" t="s">
        <v>495</v>
      </c>
      <c r="E76" t="s">
        <v>496</v>
      </c>
      <c r="F76" s="3" t="str">
        <f>_xlfn.XLOOKUP("Explication_"&amp;B76,Feuil2!B:B,Feuil2!C:C,"Non trouvé")</f>
        <v>Le variateur renvoi un défaut à l'automate, avec un code d'erreur. Ce code d'erreur est visible sur la page visualisation sur l'IHM, mais également sur l'afficheur du variateur.</v>
      </c>
      <c r="G76" t="str">
        <f>_xlfn.XLOOKUP("Cause_"&amp;B76,Feuil2!B:B,Feuil2!C:C,"Non trouvé")</f>
        <v>Dépend du code d'erreur affiché</v>
      </c>
      <c r="H76" t="str">
        <f>_xlfn.XLOOKUP("Solution_"&amp;B76,Feuil2!B:B,Feuil2!C:C,"Non trouvé")</f>
        <v>Un pdf est accessible en cliquant sur le bouton "information défaut" sur la page visualisation du variateur. Ce pdf détaille les codes d'erreur.</v>
      </c>
    </row>
    <row r="77" spans="1:8" ht="30" x14ac:dyDescent="0.25">
      <c r="A77" t="s">
        <v>497</v>
      </c>
      <c r="B77" t="s">
        <v>498</v>
      </c>
      <c r="C77" t="s">
        <v>499</v>
      </c>
      <c r="D77" t="s">
        <v>500</v>
      </c>
      <c r="E77" t="s">
        <v>501</v>
      </c>
      <c r="F77" s="3" t="str">
        <f>_xlfn.XLOOKUP("Explication_"&amp;B77,Feuil2!B:B,Feuil2!C:C,"Non trouvé")</f>
        <v>Le variateur ne renvoi aucune valeur d'intensité à l'automate malgré le fait que l'automate demande au variateur de faire fonctionner le moteur</v>
      </c>
      <c r="G77" t="str">
        <f>_xlfn.XLOOKUP("Cause_"&amp;B77,Feuil2!B:B,Feuil2!C:C,"Non trouvé")</f>
        <v>- Connexion électrique du moteur
- Les entrées sécurisées du variateur ne sont pas actives</v>
      </c>
      <c r="H77" t="str">
        <f>_xlfn.XLOOKUP("Solution_"&amp;B77,Feuil2!B:B,Feuil2!C:C,"Non trouvé")</f>
        <v>- Vérifier la connexion électrique du moteur
- Vérifier les entrées sécurisées du variateur</v>
      </c>
    </row>
    <row r="78" spans="1:8" ht="45" x14ac:dyDescent="0.25">
      <c r="A78" t="s">
        <v>502</v>
      </c>
      <c r="B78" t="s">
        <v>503</v>
      </c>
      <c r="C78" t="s">
        <v>504</v>
      </c>
      <c r="D78" t="s">
        <v>505</v>
      </c>
      <c r="E78" t="s">
        <v>506</v>
      </c>
      <c r="F78" s="3" t="str">
        <f>_xlfn.XLOOKUP("Explication_"&amp;B78,Feuil2!B:B,Feuil2!C:C,"Non trouvé")</f>
        <v>Le variateur renvoi un défaut à l'automate, avec un code d'erreur. Ce code d'erreur est visible sur la page visualisation sur l'IHM, mais également sur l'afficheur du variateur.</v>
      </c>
      <c r="G78" t="str">
        <f>_xlfn.XLOOKUP("Cause_"&amp;B78,Feuil2!B:B,Feuil2!C:C,"Non trouvé")</f>
        <v>Dépend du code d'erreur affiché</v>
      </c>
      <c r="H78" t="str">
        <f>_xlfn.XLOOKUP("Solution_"&amp;B78,Feuil2!B:B,Feuil2!C:C,"Non trouvé")</f>
        <v>Un pdf est accessible en cliquant sur le bouton "information défaut" sur la page visualisation du variateur. Ce pdf détaille les codes d'erreur.</v>
      </c>
    </row>
    <row r="79" spans="1:8" ht="30" x14ac:dyDescent="0.25">
      <c r="A79" t="s">
        <v>507</v>
      </c>
      <c r="B79" t="s">
        <v>508</v>
      </c>
      <c r="C79" t="s">
        <v>509</v>
      </c>
      <c r="D79" t="s">
        <v>510</v>
      </c>
      <c r="E79" t="s">
        <v>511</v>
      </c>
      <c r="F79" s="3" t="str">
        <f>_xlfn.XLOOKUP("Explication_"&amp;B79,Feuil2!B:B,Feuil2!C:C,"Non trouvé")</f>
        <v>Le variateur ne renvoi aucune valeur d'intensité à l'automate malgré le fait que l'automate demande au variateur de faire fonctionner le moteur</v>
      </c>
      <c r="G79" t="str">
        <f>_xlfn.XLOOKUP("Cause_"&amp;B79,Feuil2!B:B,Feuil2!C:C,"Non trouvé")</f>
        <v>- Connexion électrique du moteur
- Les entrées sécurisées du variateur ne sont pas actives</v>
      </c>
      <c r="H79" t="str">
        <f>_xlfn.XLOOKUP("Solution_"&amp;B79,Feuil2!B:B,Feuil2!C:C,"Non trouvé")</f>
        <v>- Vérifier la connexion électrique du moteur
- Vérifier les entrées sécurisées du variateur</v>
      </c>
    </row>
    <row r="80" spans="1:8" ht="45" x14ac:dyDescent="0.25">
      <c r="A80" t="s">
        <v>512</v>
      </c>
      <c r="B80" t="s">
        <v>513</v>
      </c>
      <c r="C80" t="s">
        <v>514</v>
      </c>
      <c r="D80" t="s">
        <v>515</v>
      </c>
      <c r="E80" t="s">
        <v>516</v>
      </c>
      <c r="F80" s="3" t="str">
        <f>_xlfn.XLOOKUP("Explication_"&amp;B80,Feuil2!B:B,Feuil2!C:C,"Non trouvé")</f>
        <v>Le variateur renvoi un défaut à l'automate, avec un code d'erreur. Ce code d'erreur est visible sur la page visualisation sur l'IHM, mais également sur l'afficheur du variateur.</v>
      </c>
      <c r="G80" t="str">
        <f>_xlfn.XLOOKUP("Cause_"&amp;B80,Feuil2!B:B,Feuil2!C:C,"Non trouvé")</f>
        <v>Dépend du code d'erreur affiché</v>
      </c>
      <c r="H80" t="str">
        <f>_xlfn.XLOOKUP("Solution_"&amp;B80,Feuil2!B:B,Feuil2!C:C,"Non trouvé")</f>
        <v>Un pdf est accessible en cliquant sur le bouton "information défaut" sur la page visualisation du variateur. Ce pdf détaille les codes d'erreur.</v>
      </c>
    </row>
    <row r="81" spans="1:8" x14ac:dyDescent="0.25">
      <c r="A81" t="s">
        <v>517</v>
      </c>
      <c r="B81" t="s">
        <v>518</v>
      </c>
      <c r="C81" t="s">
        <v>519</v>
      </c>
      <c r="D81" t="s">
        <v>520</v>
      </c>
      <c r="E81" t="s">
        <v>521</v>
      </c>
      <c r="F81" s="3" t="str">
        <f>_xlfn.XLOOKUP("Explication_"&amp;B81,Feuil2!B:B,Feuil2!C:C,"Non trouvé")</f>
        <v>Non trouvé</v>
      </c>
      <c r="G81" t="str">
        <f>_xlfn.XLOOKUP("Cause_"&amp;B81,Feuil2!B:B,Feuil2!C:C,"Non trouvé")</f>
        <v>Non trouvé</v>
      </c>
      <c r="H81" t="str">
        <f>_xlfn.XLOOKUP("Solution_"&amp;B81,Feuil2!B:B,Feuil2!C:C,"Non trouvé")</f>
        <v>Non trouvé</v>
      </c>
    </row>
    <row r="82" spans="1:8" x14ac:dyDescent="0.25">
      <c r="A82" t="s">
        <v>522</v>
      </c>
      <c r="B82" t="s">
        <v>523</v>
      </c>
      <c r="C82" t="s">
        <v>524</v>
      </c>
      <c r="D82" t="s">
        <v>525</v>
      </c>
      <c r="E82" t="s">
        <v>526</v>
      </c>
      <c r="F82" s="3" t="str">
        <f>_xlfn.XLOOKUP("Explication_"&amp;B82,Feuil2!B:B,Feuil2!C:C,"Non trouvé")</f>
        <v>Non trouvé</v>
      </c>
      <c r="G82" t="str">
        <f>_xlfn.XLOOKUP("Cause_"&amp;B82,Feuil2!B:B,Feuil2!C:C,"Non trouvé")</f>
        <v>Non trouvé</v>
      </c>
      <c r="H82" t="str">
        <f>_xlfn.XLOOKUP("Solution_"&amp;B82,Feuil2!B:B,Feuil2!C:C,"Non trouvé")</f>
        <v>Non trouvé</v>
      </c>
    </row>
    <row r="83" spans="1:8" ht="30" x14ac:dyDescent="0.25">
      <c r="A83" t="s">
        <v>527</v>
      </c>
      <c r="B83" t="s">
        <v>528</v>
      </c>
      <c r="C83" t="s">
        <v>529</v>
      </c>
      <c r="D83" t="s">
        <v>530</v>
      </c>
      <c r="E83" t="s">
        <v>531</v>
      </c>
      <c r="F83" s="3" t="str">
        <f>_xlfn.XLOOKUP("Explication_"&amp;B83,Feuil2!B:B,Feuil2!C:C,"Non trouvé")</f>
        <v>En mode convoyeur, les systèmes d'oscillation doivent aller en petite vitesse jusqu'au capteur, puis les dépasser légèrement</v>
      </c>
      <c r="G83" t="str">
        <f>_xlfn.XLOOKUP("Cause_"&amp;B83,Feuil2!B:B,Feuil2!C:C,"Non trouvé")</f>
        <v>- Mauvais réglage du drapeau de détection
- Capteur mal réglé - Dysfonctionnement du capteur</v>
      </c>
      <c r="H83" t="str">
        <f>_xlfn.XLOOKUP("Solution_"&amp;B83,Feuil2!B:B,Feuil2!C:C,"Non trouvé")</f>
        <v>- Vérifier le positionnement du drapeau de détection
- Vérifier le bon réglage du capteur - Changer le capteur s'il est défectueux</v>
      </c>
    </row>
    <row r="84" spans="1:8" ht="30" x14ac:dyDescent="0.25">
      <c r="A84" t="s">
        <v>532</v>
      </c>
      <c r="B84" t="s">
        <v>533</v>
      </c>
      <c r="C84" t="s">
        <v>534</v>
      </c>
      <c r="D84" t="s">
        <v>535</v>
      </c>
      <c r="E84" t="s">
        <v>531</v>
      </c>
      <c r="F84" s="3" t="str">
        <f>_xlfn.XLOOKUP("Explication_"&amp;B84,Feuil2!B:B,Feuil2!C:C,"Non trouvé")</f>
        <v>En mode sexage, les systèmes d'oscillation tournent et donc le capteur doit souvent changer d'état</v>
      </c>
      <c r="G84" t="str">
        <f>_xlfn.XLOOKUP("Cause_"&amp;B84,Feuil2!B:B,Feuil2!C:C,"Non trouvé")</f>
        <v>- Mauvais réglage du drapeau de détection
- Capteur mal réglé - Dysfonctionnement du capteur</v>
      </c>
      <c r="H84" t="str">
        <f>_xlfn.XLOOKUP("Solution_"&amp;B84,Feuil2!B:B,Feuil2!C:C,"Non trouvé")</f>
        <v>- Vérifier le positionnement du drapeau de détection
- Vérifier le bon réglage du capteur - Changer le capteur s'il est défectueux</v>
      </c>
    </row>
    <row r="85" spans="1:8" ht="30" x14ac:dyDescent="0.25">
      <c r="A85" t="s">
        <v>536</v>
      </c>
      <c r="B85" t="s">
        <v>537</v>
      </c>
      <c r="C85" t="s">
        <v>538</v>
      </c>
      <c r="D85" t="s">
        <v>539</v>
      </c>
      <c r="E85" t="s">
        <v>540</v>
      </c>
      <c r="F85" s="3" t="str">
        <f>_xlfn.XLOOKUP("Explication_"&amp;B85,Feuil2!B:B,Feuil2!C:C,"Non trouvé")</f>
        <v>Le variateur ne renvoi aucune valeur d'intensité à l'automate malgré le fait que l'automate demande au variateur de faire fonctionner le moteur</v>
      </c>
      <c r="G85" t="str">
        <f>_xlfn.XLOOKUP("Cause_"&amp;B85,Feuil2!B:B,Feuil2!C:C,"Non trouvé")</f>
        <v>- Connexion électrique du moteur
- Les entrées sécurisées du variateur ne sont pas actives</v>
      </c>
      <c r="H85" t="str">
        <f>_xlfn.XLOOKUP("Solution_"&amp;B85,Feuil2!B:B,Feuil2!C:C,"Non trouvé")</f>
        <v>- Vérifier la connexion électrique du moteur
- Vérifier les entrées sécurisées du variateur</v>
      </c>
    </row>
    <row r="86" spans="1:8" ht="45" x14ac:dyDescent="0.25">
      <c r="A86" t="s">
        <v>541</v>
      </c>
      <c r="B86" t="s">
        <v>542</v>
      </c>
      <c r="C86" t="s">
        <v>543</v>
      </c>
      <c r="D86" t="s">
        <v>544</v>
      </c>
      <c r="E86" t="s">
        <v>545</v>
      </c>
      <c r="F86" s="3" t="str">
        <f>_xlfn.XLOOKUP("Explication_"&amp;B86,Feuil2!B:B,Feuil2!C:C,"Non trouvé")</f>
        <v>Le variateur renvoi un défaut à l'automate, avec un code d'erreur. Ce code d'erreur est visible sur la page visualisation sur l'IHM, mais également sur l'afficheur du variateur.</v>
      </c>
      <c r="G86" t="str">
        <f>_xlfn.XLOOKUP("Cause_"&amp;B86,Feuil2!B:B,Feuil2!C:C,"Non trouvé")</f>
        <v>Dépend du code d'erreur affiché</v>
      </c>
      <c r="H86" t="str">
        <f>_xlfn.XLOOKUP("Solution_"&amp;B86,Feuil2!B:B,Feuil2!C:C,"Non trouvé")</f>
        <v>Un pdf est accessible en cliquant sur le bouton "information défaut" sur la page visualisation du variateur. Ce pdf détaille les codes d'erreur.</v>
      </c>
    </row>
    <row r="87" spans="1:8" ht="30" x14ac:dyDescent="0.25">
      <c r="A87" t="s">
        <v>546</v>
      </c>
      <c r="B87" t="s">
        <v>547</v>
      </c>
      <c r="C87" t="s">
        <v>548</v>
      </c>
      <c r="D87" t="s">
        <v>549</v>
      </c>
      <c r="E87" t="s">
        <v>550</v>
      </c>
      <c r="F87" s="3" t="str">
        <f>_xlfn.XLOOKUP("Explication_"&amp;B87,Feuil2!B:B,Feuil2!C:C,"Non trouvé")</f>
        <v>Le variateur ne renvoi aucune valeur d'intensité à l'automate malgré le fait que l'automate demande au variateur de faire fonctionner le moteur</v>
      </c>
      <c r="G87" t="str">
        <f>_xlfn.XLOOKUP("Cause_"&amp;B87,Feuil2!B:B,Feuil2!C:C,"Non trouvé")</f>
        <v>- Connexion électrique du moteur
- Les entrées sécurisées du variateur ne sont pas actives</v>
      </c>
      <c r="H87" t="str">
        <f>_xlfn.XLOOKUP("Solution_"&amp;B87,Feuil2!B:B,Feuil2!C:C,"Non trouvé")</f>
        <v>- Vérifier la connexion électrique du moteur
- Vérifier les entrées sécurisées du variateur</v>
      </c>
    </row>
    <row r="88" spans="1:8" ht="45" x14ac:dyDescent="0.25">
      <c r="A88" t="s">
        <v>551</v>
      </c>
      <c r="B88" t="s">
        <v>552</v>
      </c>
      <c r="C88" t="s">
        <v>553</v>
      </c>
      <c r="D88" t="s">
        <v>554</v>
      </c>
      <c r="E88" t="s">
        <v>555</v>
      </c>
      <c r="F88" s="3" t="str">
        <f>_xlfn.XLOOKUP("Explication_"&amp;B88,Feuil2!B:B,Feuil2!C:C,"Non trouvé")</f>
        <v>Le variateur renvoi un défaut à l'automate, avec un code d'erreur. Ce code d'erreur est visible sur la page visualisation sur l'IHM, mais également sur l'afficheur du variateur.</v>
      </c>
      <c r="G88" t="str">
        <f>_xlfn.XLOOKUP("Cause_"&amp;B88,Feuil2!B:B,Feuil2!C:C,"Non trouvé")</f>
        <v>Dépend du code d'erreur affiché</v>
      </c>
      <c r="H88" t="str">
        <f>_xlfn.XLOOKUP("Solution_"&amp;B88,Feuil2!B:B,Feuil2!C:C,"Non trouvé")</f>
        <v>Un pdf est accessible en cliquant sur le bouton "information défaut" sur la page visualisation du variateur. Ce pdf détaille les codes d'erreur.</v>
      </c>
    </row>
    <row r="89" spans="1:8" ht="30" x14ac:dyDescent="0.25">
      <c r="A89" t="s">
        <v>556</v>
      </c>
      <c r="B89" t="s">
        <v>557</v>
      </c>
      <c r="C89" t="s">
        <v>558</v>
      </c>
      <c r="D89" t="s">
        <v>559</v>
      </c>
      <c r="E89" t="s">
        <v>560</v>
      </c>
      <c r="F89" s="3" t="str">
        <f>_xlfn.XLOOKUP("Explication_"&amp;B89,Feuil2!B:B,Feuil2!C:C,"Non trouvé")</f>
        <v>Le variateur ne renvoi aucune valeur d'intensité à l'automate malgré le fait que l'automate demande au variateur de faire fonctionner le moteur</v>
      </c>
      <c r="G89" t="str">
        <f>_xlfn.XLOOKUP("Cause_"&amp;B89,Feuil2!B:B,Feuil2!C:C,"Non trouvé")</f>
        <v>- Connexion électrique du moteur
- Les entrées sécurisées du variateur ne sont pas actives</v>
      </c>
      <c r="H89" t="str">
        <f>_xlfn.XLOOKUP("Solution_"&amp;B89,Feuil2!B:B,Feuil2!C:C,"Non trouvé")</f>
        <v>- Vérifier la connexion électrique du moteur
- Vérifier les entrées sécurisées du variateur</v>
      </c>
    </row>
    <row r="90" spans="1:8" ht="45" x14ac:dyDescent="0.25">
      <c r="A90" t="s">
        <v>561</v>
      </c>
      <c r="B90" t="s">
        <v>562</v>
      </c>
      <c r="C90" t="s">
        <v>563</v>
      </c>
      <c r="D90" t="s">
        <v>564</v>
      </c>
      <c r="E90" t="s">
        <v>565</v>
      </c>
      <c r="F90" s="3" t="str">
        <f>_xlfn.XLOOKUP("Explication_"&amp;B90,Feuil2!B:B,Feuil2!C:C,"Non trouvé")</f>
        <v>Le variateur renvoi un défaut à l'automate, avec un code d'erreur. Ce code d'erreur est visible sur la page visualisation sur l'IHM, mais également sur l'afficheur du variateur.</v>
      </c>
      <c r="G90" t="str">
        <f>_xlfn.XLOOKUP("Cause_"&amp;B90,Feuil2!B:B,Feuil2!C:C,"Non trouvé")</f>
        <v>Dépend du code d'erreur affiché</v>
      </c>
      <c r="H90" t="str">
        <f>_xlfn.XLOOKUP("Solution_"&amp;B90,Feuil2!B:B,Feuil2!C:C,"Non trouvé")</f>
        <v>Un pdf est accessible en cliquant sur le bouton "information défaut" sur la page visualisation du variateur. Ce pdf détaille les codes d'erreur.</v>
      </c>
    </row>
    <row r="91" spans="1:8" ht="30" x14ac:dyDescent="0.25">
      <c r="A91" t="s">
        <v>566</v>
      </c>
      <c r="B91" t="s">
        <v>567</v>
      </c>
      <c r="C91" t="s">
        <v>568</v>
      </c>
      <c r="D91" t="s">
        <v>569</v>
      </c>
      <c r="E91" t="s">
        <v>570</v>
      </c>
      <c r="F91" s="3" t="str">
        <f>_xlfn.XLOOKUP("Explication_"&amp;B91,Feuil2!B:B,Feuil2!C:C,"Non trouvé")</f>
        <v>Le variateur ne renvoi aucune valeur d'intensité à l'automate malgré le fait que l'automate demande au variateur de faire fonctionner le moteur</v>
      </c>
      <c r="G91" t="str">
        <f>_xlfn.XLOOKUP("Cause_"&amp;B91,Feuil2!B:B,Feuil2!C:C,"Non trouvé")</f>
        <v>- Connexion électrique du moteur
- Les entrées sécurisées du variateur ne sont pas actives</v>
      </c>
      <c r="H91" t="str">
        <f>_xlfn.XLOOKUP("Solution_"&amp;B91,Feuil2!B:B,Feuil2!C:C,"Non trouvé")</f>
        <v>- Vérifier la connexion électrique du moteur
- Vérifier les entrées sécurisées du variateur</v>
      </c>
    </row>
    <row r="92" spans="1:8" ht="45" x14ac:dyDescent="0.25">
      <c r="A92" t="s">
        <v>571</v>
      </c>
      <c r="B92" t="s">
        <v>572</v>
      </c>
      <c r="C92" t="s">
        <v>573</v>
      </c>
      <c r="D92" t="s">
        <v>574</v>
      </c>
      <c r="E92" t="s">
        <v>575</v>
      </c>
      <c r="F92" s="3" t="str">
        <f>_xlfn.XLOOKUP("Explication_"&amp;B92,Feuil2!B:B,Feuil2!C:C,"Non trouvé")</f>
        <v>Le variateur renvoi un défaut à l'automate, avec un code d'erreur. Ce code d'erreur est visible sur la page visualisation sur l'IHM, mais également sur l'afficheur du variateur.</v>
      </c>
      <c r="G92" t="str">
        <f>_xlfn.XLOOKUP("Cause_"&amp;B92,Feuil2!B:B,Feuil2!C:C,"Non trouvé")</f>
        <v>Dépend du code d'erreur affiché</v>
      </c>
      <c r="H92" t="str">
        <f>_xlfn.XLOOKUP("Solution_"&amp;B92,Feuil2!B:B,Feuil2!C:C,"Non trouvé")</f>
        <v>Un pdf est accessible en cliquant sur le bouton "information défaut" sur la page visualisation du variateur. Ce pdf détaille les codes d'erreur.</v>
      </c>
    </row>
    <row r="93" spans="1:8" ht="30" x14ac:dyDescent="0.25">
      <c r="A93" t="s">
        <v>576</v>
      </c>
      <c r="B93" t="s">
        <v>577</v>
      </c>
      <c r="C93" t="s">
        <v>578</v>
      </c>
      <c r="D93" t="s">
        <v>579</v>
      </c>
      <c r="E93" t="s">
        <v>580</v>
      </c>
      <c r="F93" s="3" t="str">
        <f>_xlfn.XLOOKUP("Explication_"&amp;B93,Feuil2!B:B,Feuil2!C:C,"Non trouvé")</f>
        <v>Chaque porte de la machine est équipée d'un capteur pour vérifier que celle-ci est bien fermée</v>
      </c>
      <c r="G93" t="str">
        <f>_xlfn.XLOOKUP("Cause_"&amp;B93,Feuil2!B:B,Feuil2!C:C,"Non trouvé")</f>
        <v>- La porte indiquée est ouverte
- Le capteur est mal réglé - Le capteur est défectueux</v>
      </c>
      <c r="H93" t="str">
        <f>_xlfn.XLOOKUP("Solution_"&amp;B93,Feuil2!B:B,Feuil2!C:C,"Non trouvé")</f>
        <v>- Vérifier que la porte indiquée est bien fermée
- Vérifier le bon alignement du capteur sur la porte avec la partie fixe sur la machine - Remplacer le capteur</v>
      </c>
    </row>
    <row r="94" spans="1:8" ht="30" x14ac:dyDescent="0.25">
      <c r="A94" t="s">
        <v>581</v>
      </c>
      <c r="B94" t="s">
        <v>582</v>
      </c>
      <c r="C94" t="s">
        <v>583</v>
      </c>
      <c r="D94" t="s">
        <v>584</v>
      </c>
      <c r="E94" t="s">
        <v>585</v>
      </c>
      <c r="F94" s="3" t="str">
        <f>_xlfn.XLOOKUP("Explication_"&amp;B94,Feuil2!B:B,Feuil2!C:C,"Non trouvé")</f>
        <v>Chaque porte de la machine est équipée d'un capteur pour vérifier que celle-ci est bien fermée</v>
      </c>
      <c r="G94" t="str">
        <f>_xlfn.XLOOKUP("Cause_"&amp;B94,Feuil2!B:B,Feuil2!C:C,"Non trouvé")</f>
        <v>- La porte indiquée est ouverte
- Le capteur est mal réglé - Le capteur est défectueux</v>
      </c>
      <c r="H94" t="str">
        <f>_xlfn.XLOOKUP("Solution_"&amp;B94,Feuil2!B:B,Feuil2!C:C,"Non trouvé")</f>
        <v>- Vérifier que la porte indiquée est bien fermée
- Vérifier le bon alignement du capteur sur la porte avec la partie fixe sur la machine - Remplacer le capteur</v>
      </c>
    </row>
    <row r="95" spans="1:8" ht="30" x14ac:dyDescent="0.25">
      <c r="A95" t="s">
        <v>586</v>
      </c>
      <c r="B95" t="s">
        <v>587</v>
      </c>
      <c r="C95" t="s">
        <v>588</v>
      </c>
      <c r="D95" t="s">
        <v>589</v>
      </c>
      <c r="E95" t="s">
        <v>590</v>
      </c>
      <c r="F95" s="3" t="str">
        <f>_xlfn.XLOOKUP("Explication_"&amp;B95,Feuil2!B:B,Feuil2!C:C,"Non trouvé")</f>
        <v>Chaque porte de la machine est équipée d'un capteur pour vérifier que celle-ci est bien fermée</v>
      </c>
      <c r="G95" t="str">
        <f>_xlfn.XLOOKUP("Cause_"&amp;B95,Feuil2!B:B,Feuil2!C:C,"Non trouvé")</f>
        <v>- La porte indiquée est ouverte
- Le capteur est mal réglé - Le capteur est défectueux</v>
      </c>
      <c r="H95" t="str">
        <f>_xlfn.XLOOKUP("Solution_"&amp;B95,Feuil2!B:B,Feuil2!C:C,"Non trouvé")</f>
        <v>- Vérifier que la porte indiquée est bien fermée
- Vérifier le bon alignement du capteur sur la porte avec la partie fixe sur la machine - Remplacer le capteur</v>
      </c>
    </row>
    <row r="96" spans="1:8" ht="30" x14ac:dyDescent="0.25">
      <c r="A96" t="s">
        <v>591</v>
      </c>
      <c r="B96" t="s">
        <v>592</v>
      </c>
      <c r="C96" t="s">
        <v>593</v>
      </c>
      <c r="D96" t="s">
        <v>594</v>
      </c>
      <c r="E96" t="s">
        <v>595</v>
      </c>
      <c r="F96" s="3" t="str">
        <f>_xlfn.XLOOKUP("Explication_"&amp;B96,Feuil2!B:B,Feuil2!C:C,"Non trouvé")</f>
        <v>Chaque porte de la machine est équipée d'un capteur pour vérifier que celle-ci est bien fermée</v>
      </c>
      <c r="G96" t="str">
        <f>_xlfn.XLOOKUP("Cause_"&amp;B96,Feuil2!B:B,Feuil2!C:C,"Non trouvé")</f>
        <v>- La porte indiquée est ouverte
- Le capteur est mal réglé - Le capteur est défectueux</v>
      </c>
      <c r="H96" t="str">
        <f>_xlfn.XLOOKUP("Solution_"&amp;B96,Feuil2!B:B,Feuil2!C:C,"Non trouvé")</f>
        <v>- Vérifier que la porte indiquée est bien fermée
- Vérifier le bon alignement du capteur sur la porte avec la partie fixe sur la machine - Remplacer le capteur</v>
      </c>
    </row>
    <row r="97" spans="1:8" ht="30" x14ac:dyDescent="0.25">
      <c r="A97" t="s">
        <v>596</v>
      </c>
      <c r="B97" t="s">
        <v>597</v>
      </c>
      <c r="C97" t="s">
        <v>598</v>
      </c>
      <c r="D97" t="s">
        <v>599</v>
      </c>
      <c r="E97" t="s">
        <v>600</v>
      </c>
      <c r="F97" s="3" t="str">
        <f>_xlfn.XLOOKUP("Explication_"&amp;B97,Feuil2!B:B,Feuil2!C:C,"Non trouvé")</f>
        <v>Chaque porte de la machine est équipée d'un capteur pour vérifier que celle-ci est bien fermée</v>
      </c>
      <c r="G97" t="str">
        <f>_xlfn.XLOOKUP("Cause_"&amp;B97,Feuil2!B:B,Feuil2!C:C,"Non trouvé")</f>
        <v>- La porte indiquée est ouverte
- Le capteur est mal réglé - Le capteur est défectueux</v>
      </c>
      <c r="H97" t="str">
        <f>_xlfn.XLOOKUP("Solution_"&amp;B97,Feuil2!B:B,Feuil2!C:C,"Non trouvé")</f>
        <v>- Vérifier que la porte indiquée est bien fermée
- Vérifier le bon alignement du capteur sur la porte avec la partie fixe sur la machine - Remplacer le capteur</v>
      </c>
    </row>
    <row r="98" spans="1:8" ht="30" x14ac:dyDescent="0.25">
      <c r="A98" t="s">
        <v>601</v>
      </c>
      <c r="B98" t="s">
        <v>602</v>
      </c>
      <c r="C98" t="s">
        <v>603</v>
      </c>
      <c r="D98" t="s">
        <v>604</v>
      </c>
      <c r="E98" t="s">
        <v>605</v>
      </c>
      <c r="F98" s="3" t="str">
        <f>_xlfn.XLOOKUP("Explication_"&amp;B98,Feuil2!B:B,Feuil2!C:C,"Non trouvé")</f>
        <v>Chaque porte de la machine est équipée d'un capteur pour vérifier que celle-ci est bien fermée</v>
      </c>
      <c r="G98" t="str">
        <f>_xlfn.XLOOKUP("Cause_"&amp;B98,Feuil2!B:B,Feuil2!C:C,"Non trouvé")</f>
        <v>- La porte indiquée est ouverte
- Le capteur est mal réglé - Le capteur est défectueux</v>
      </c>
      <c r="H98" t="str">
        <f>_xlfn.XLOOKUP("Solution_"&amp;B98,Feuil2!B:B,Feuil2!C:C,"Non trouvé")</f>
        <v>- Vérifier que la porte indiquée est bien fermée
- Vérifier le bon alignement du capteur sur la porte avec la partie fixe sur la machine - Remplacer le capteur</v>
      </c>
    </row>
    <row r="99" spans="1:8" ht="45" x14ac:dyDescent="0.25">
      <c r="A99" t="s">
        <v>606</v>
      </c>
      <c r="B99" t="s">
        <v>607</v>
      </c>
      <c r="C99" t="s">
        <v>608</v>
      </c>
      <c r="D99" t="s">
        <v>609</v>
      </c>
      <c r="E99" t="s">
        <v>610</v>
      </c>
      <c r="F99" s="3" t="str">
        <f>_xlfn.XLOOKUP("Explication_"&amp;B99,Feuil2!B:B,Feuil2!C:C,"Non trouvé")</f>
        <v>Quand la machine est équipée d'un système de refroidissement, ce défaut indique que quelque chose ne va pas au niveau de l'échangeur thermique</v>
      </c>
      <c r="G99" t="str">
        <f>_xlfn.XLOOKUP("Cause_"&amp;B99,Feuil2!B:B,Feuil2!C:C,"Non trouvé")</f>
        <v>Dépend du code d'erreur affiché sur l'échangeur thermique</v>
      </c>
      <c r="H99" t="str">
        <f>_xlfn.XLOOKUP("Solution_"&amp;B99,Feuil2!B:B,Feuil2!C:C,"Non trouvé")</f>
        <v>Se référer à la doc technique de l'échangeur thermique</v>
      </c>
    </row>
    <row r="100" spans="1:8" ht="45" x14ac:dyDescent="0.25">
      <c r="A100" t="s">
        <v>611</v>
      </c>
      <c r="B100" t="s">
        <v>612</v>
      </c>
      <c r="C100" t="s">
        <v>613</v>
      </c>
      <c r="D100" t="s">
        <v>614</v>
      </c>
      <c r="E100" t="s">
        <v>615</v>
      </c>
      <c r="F100" s="3" t="str">
        <f>_xlfn.XLOOKUP("Explication_"&amp;B100,Feuil2!B:B,Feuil2!C:C,"Non trouvé")</f>
        <v>Quand la machine est équipée d'un système de refroidissement, ce défaut indique que la température dans l'armoire est trop élevée. Le système n'arrive pas à refroidir suffisamment l'armoire informatique</v>
      </c>
      <c r="G100" t="str">
        <f>_xlfn.XLOOKUP("Cause_"&amp;B100,Feuil2!B:B,Feuil2!C:C,"Non trouvé")</f>
        <v>- Environnement défavorable (chaleur trop élevée dans la pièce)
- Echangeur défectueux qui ne refroidit pas assez l'armoire</v>
      </c>
      <c r="H100" t="str">
        <f>_xlfn.XLOOKUP("Solution_"&amp;B100,Feuil2!B:B,Feuil2!C:C,"Non trouvé")</f>
        <v>- Inspecter l'échangeur thermique
- Si le problème persiste, contacter Ecat-iD</v>
      </c>
    </row>
    <row r="101" spans="1:8" ht="30" x14ac:dyDescent="0.25">
      <c r="A101" t="s">
        <v>616</v>
      </c>
      <c r="B101" t="s">
        <v>617</v>
      </c>
      <c r="C101" t="s">
        <v>618</v>
      </c>
      <c r="D101" t="s">
        <v>619</v>
      </c>
      <c r="E101" t="s">
        <v>620</v>
      </c>
      <c r="F101" s="3" t="str">
        <f>_xlfn.XLOOKUP("Explication_"&amp;B101,Feuil2!B:B,Feuil2!C:C,"Non trouvé")</f>
        <v>Quand la machine est équipée d'un système de refroidissement, ce défaut indique que quelque chose ne va pas au niveau du groupe froid</v>
      </c>
      <c r="G101" t="str">
        <f>_xlfn.XLOOKUP("Cause_"&amp;B101,Feuil2!B:B,Feuil2!C:C,"Non trouvé")</f>
        <v>Dépend du code d'erreur affiché</v>
      </c>
      <c r="H101" t="str">
        <f>_xlfn.XLOOKUP("Solution_"&amp;B101,Feuil2!B:B,Feuil2!C:C,"Non trouvé")</f>
        <v>Se référer à la doc technique du groupe froid</v>
      </c>
    </row>
    <row r="102" spans="1:8" ht="30" x14ac:dyDescent="0.25">
      <c r="A102" t="s">
        <v>621</v>
      </c>
      <c r="B102" t="s">
        <v>622</v>
      </c>
      <c r="C102" t="s">
        <v>623</v>
      </c>
      <c r="D102" t="s">
        <v>624</v>
      </c>
      <c r="E102" t="s">
        <v>625</v>
      </c>
      <c r="F102" s="3" t="str">
        <f>_xlfn.XLOOKUP("Explication_"&amp;B102,Feuil2!B:B,Feuil2!C:C,"Non trouvé")</f>
        <v>Quand la machine est équipée d'un système de refroidissement, ce défaut indique que quelque chose ne va pas au niveau du groupe froid</v>
      </c>
      <c r="G102" t="str">
        <f>_xlfn.XLOOKUP("Cause_"&amp;B102,Feuil2!B:B,Feuil2!C:C,"Non trouvé")</f>
        <v>Dépend du code d'erreur affiché</v>
      </c>
      <c r="H102" t="str">
        <f>_xlfn.XLOOKUP("Solution_"&amp;B102,Feuil2!B:B,Feuil2!C:C,"Non trouvé")</f>
        <v>Se référer à la doc technique du groupe froid</v>
      </c>
    </row>
    <row r="103" spans="1:8" ht="30" x14ac:dyDescent="0.25">
      <c r="A103" t="s">
        <v>626</v>
      </c>
      <c r="B103" t="s">
        <v>627</v>
      </c>
      <c r="C103" t="s">
        <v>628</v>
      </c>
      <c r="D103" t="s">
        <v>629</v>
      </c>
      <c r="E103" t="s">
        <v>630</v>
      </c>
      <c r="F103" s="3" t="str">
        <f>_xlfn.XLOOKUP("Explication_"&amp;B103,Feuil2!B:B,Feuil2!C:C,"Non trouvé")</f>
        <v>Le relais de sécurité SEC02, qui gère les portes et le système d'aiguillage est en défaut.</v>
      </c>
      <c r="G103" t="str">
        <f>_xlfn.XLOOKUP("Cause_"&amp;B103,Feuil2!B:B,Feuil2!C:C,"Non trouvé")</f>
        <v>Une porte ou le système d'aiguillage ne sont pas correctement fermés</v>
      </c>
      <c r="H103" t="str">
        <f>_xlfn.XLOOKUP("Solution_"&amp;B103,Feuil2!B:B,Feuil2!C:C,"Non trouvé")</f>
        <v>Ouvrir toutes les portes, sortir le système d'aiguillage, fermer les portes une à une, rentrer le système d'aiguillage puis appuyer sur le bouton "reset"</v>
      </c>
    </row>
    <row r="104" spans="1:8" ht="30" x14ac:dyDescent="0.25">
      <c r="A104" t="s">
        <v>631</v>
      </c>
      <c r="B104" t="s">
        <v>632</v>
      </c>
      <c r="C104" t="s">
        <v>633</v>
      </c>
      <c r="D104" t="s">
        <v>465</v>
      </c>
      <c r="E104" t="s">
        <v>634</v>
      </c>
      <c r="F104" s="3" t="str">
        <f>_xlfn.XLOOKUP("Explication_"&amp;B104,Feuil2!B:B,Feuil2!C:C,"Non trouvé")</f>
        <v>Le variateur ne renvoi aucune valeur d'intensité à l'automate malgré le fait que l'automate demande au variateur de faire fonctionner le moteur</v>
      </c>
      <c r="G104" t="str">
        <f>_xlfn.XLOOKUP("Cause_"&amp;B104,Feuil2!B:B,Feuil2!C:C,"Non trouvé")</f>
        <v>- Connexion électrique du moteur
- Les entrées sécurisées du variateur ne sont pas actives</v>
      </c>
      <c r="H104" t="str">
        <f>_xlfn.XLOOKUP("Solution_"&amp;B104,Feuil2!B:B,Feuil2!C:C,"Non trouvé")</f>
        <v>- Vérifier la connexion électrique du moteur
- Vérifier les entrées sécurisées du variateur</v>
      </c>
    </row>
    <row r="105" spans="1:8" ht="45" x14ac:dyDescent="0.25">
      <c r="A105" t="s">
        <v>635</v>
      </c>
      <c r="B105" t="s">
        <v>636</v>
      </c>
      <c r="C105" t="s">
        <v>637</v>
      </c>
      <c r="D105" t="s">
        <v>470</v>
      </c>
      <c r="E105" t="s">
        <v>638</v>
      </c>
      <c r="F105" s="3" t="str">
        <f>_xlfn.XLOOKUP("Explication_"&amp;B105,Feuil2!B:B,Feuil2!C:C,"Non trouvé")</f>
        <v>Le variateur renvoi un défaut à l'automate, avec un code d'erreur. Ce code d'erreur est visible sur la page visualisation sur l'IHM, mais également sur l'afficheur du variateur.</v>
      </c>
      <c r="G105" t="str">
        <f>_xlfn.XLOOKUP("Cause_"&amp;B105,Feuil2!B:B,Feuil2!C:C,"Non trouvé")</f>
        <v>Dépend du code d'erreur affiché</v>
      </c>
      <c r="H105" t="str">
        <f>_xlfn.XLOOKUP("Solution_"&amp;B105,Feuil2!B:B,Feuil2!C:C,"Non trouvé")</f>
        <v>Un pdf est accessible en cliquant sur le bouton "information défaut" sur la page visualisation du variateur. Ce pdf détaille les codes d'erreur.</v>
      </c>
    </row>
    <row r="106" spans="1:8" ht="60" x14ac:dyDescent="0.25">
      <c r="A106" t="s">
        <v>639</v>
      </c>
      <c r="B106" t="s">
        <v>640</v>
      </c>
      <c r="C106" t="s">
        <v>641</v>
      </c>
      <c r="D106" t="s">
        <v>642</v>
      </c>
      <c r="E106" t="s">
        <v>643</v>
      </c>
      <c r="F106" s="3" t="str">
        <f>_xlfn.XLOOKUP("Explication_"&amp;B106,Feuil2!B:B,Feuil2!C:C,"Non trouvé")</f>
        <v>Sur les machines équipées du nouveau système de filtration d'air, il y a 2 capteurs par filtres. Lorsque les 2 capteurs d'un même filtre sont actifs, cela veut dire qu'il faut changer rapidement le filtre, afin de garantir les bonnes performances de la machine.</v>
      </c>
      <c r="G106" t="str">
        <f>_xlfn.XLOOKUP("Cause_"&amp;B106,Feuil2!B:B,Feuil2!C:C,"Non trouvé")</f>
        <v>Filtre usé / colmaté</v>
      </c>
      <c r="H106" t="str">
        <f>_xlfn.XLOOKUP("Solution_"&amp;B106,Feuil2!B:B,Feuil2!C:C,"Non trouvé")</f>
        <v>Changer le filtre</v>
      </c>
    </row>
    <row r="107" spans="1:8" ht="60" x14ac:dyDescent="0.25">
      <c r="A107" t="s">
        <v>644</v>
      </c>
      <c r="B107" t="s">
        <v>645</v>
      </c>
      <c r="C107" t="s">
        <v>646</v>
      </c>
      <c r="D107" t="s">
        <v>647</v>
      </c>
      <c r="E107" t="s">
        <v>648</v>
      </c>
      <c r="F107" s="3" t="str">
        <f>_xlfn.XLOOKUP("Explication_"&amp;B107,Feuil2!B:B,Feuil2!C:C,"Non trouvé")</f>
        <v>Sur les machines équipées du nouveau système de filtration d'air, il y a 2 capteurs par filtres. Lorsque les 2 capteurs d'un même filtre sont actifs, cela veut dire qu'il faut changer rapidement le filtre, afin de garantir les bonnes performances de la machine.</v>
      </c>
      <c r="G107" t="str">
        <f>_xlfn.XLOOKUP("Cause_"&amp;B107,Feuil2!B:B,Feuil2!C:C,"Non trouvé")</f>
        <v>Filtre usé / colmaté</v>
      </c>
      <c r="H107" t="str">
        <f>_xlfn.XLOOKUP("Solution_"&amp;B107,Feuil2!B:B,Feuil2!C:C,"Non trouvé")</f>
        <v>Changer le filtre</v>
      </c>
    </row>
    <row r="108" spans="1:8" ht="60" x14ac:dyDescent="0.25">
      <c r="A108" t="s">
        <v>649</v>
      </c>
      <c r="B108" t="s">
        <v>650</v>
      </c>
      <c r="C108" t="s">
        <v>651</v>
      </c>
      <c r="D108" t="s">
        <v>652</v>
      </c>
      <c r="E108" t="s">
        <v>653</v>
      </c>
      <c r="F108" s="3" t="str">
        <f>_xlfn.XLOOKUP("Explication_"&amp;B108,Feuil2!B:B,Feuil2!C:C,"Non trouvé")</f>
        <v>Sur les machines équipées du nouveau système de filtration d'air, il y a 2 capteurs par filtres. Lorsque les 2 capteurs d'un même filtre sont actifs, cela veut dire qu'il faut changer rapidement le filtre, afin de garantir les bonnes performances de la machine.</v>
      </c>
      <c r="G108" t="str">
        <f>_xlfn.XLOOKUP("Cause_"&amp;B108,Feuil2!B:B,Feuil2!C:C,"Non trouvé")</f>
        <v>Filtre usé / colmaté</v>
      </c>
      <c r="H108" t="str">
        <f>_xlfn.XLOOKUP("Solution_"&amp;B108,Feuil2!B:B,Feuil2!C:C,"Non trouvé")</f>
        <v>Changer le filtre</v>
      </c>
    </row>
    <row r="109" spans="1:8" ht="30" x14ac:dyDescent="0.25">
      <c r="A109" t="s">
        <v>654</v>
      </c>
      <c r="B109" t="s">
        <v>655</v>
      </c>
      <c r="C109" t="s">
        <v>656</v>
      </c>
      <c r="D109" t="s">
        <v>657</v>
      </c>
      <c r="E109" t="s">
        <v>658</v>
      </c>
      <c r="F109" s="3" t="str">
        <f>_xlfn.XLOOKUP("Explication_"&amp;B109,Feuil2!B:B,Feuil2!C:C,"Non trouvé")</f>
        <v>Il n'y a pas de communication entre l'automate (PLC) et l'application informatique de cette voie.</v>
      </c>
      <c r="G109" t="str">
        <f>_xlfn.XLOOKUP("Cause_"&amp;B109,Feuil2!B:B,Feuil2!C:C,"Non trouvé")</f>
        <v>- Le PC est en défaut : freeze, écran bleu, pas d'alimentation, etc…
- Liaison Ethernet PC / PLC défaillante</v>
      </c>
      <c r="H109" t="str">
        <f>_xlfn.XLOOKUP("Solution_"&amp;B109,Feuil2!B:B,Feuil2!C:C,"Non trouvé")</f>
        <v>- Eteindre et rallumer la machine
- Vérifier les connexions Ethernet
- Si le problème persiste, contacter Ecat-iD</v>
      </c>
    </row>
    <row r="110" spans="1:8" ht="45" x14ac:dyDescent="0.25">
      <c r="A110" t="s">
        <v>659</v>
      </c>
      <c r="B110" t="s">
        <v>660</v>
      </c>
      <c r="C110" t="s">
        <v>661</v>
      </c>
      <c r="D110" t="s">
        <v>662</v>
      </c>
      <c r="E110" t="s">
        <v>663</v>
      </c>
      <c r="F110" s="3" t="str">
        <f>_xlfn.XLOOKUP("Explication_"&amp;B110,Feuil2!B:B,Feuil2!C:C,"Non trouvé")</f>
        <v>La machine estime qu'il y a au moins un poussin coincé quelque part, ce qui provoque des tas de poussins sur cette voie, sous l'analyse. Cela fausse donc les résultats.</v>
      </c>
      <c r="G110" t="str">
        <f>_xlfn.XLOOKUP("Cause_"&amp;B110,Feuil2!B:B,Feuil2!C:C,"Non trouvé")</f>
        <v>Un poussin est passé sous la bande du convoyeur ou est coincé sous une rive et provoque des tas de poussins.</v>
      </c>
      <c r="H110" t="str">
        <f>_xlfn.XLOOKUP("Solution_"&amp;B110,Feuil2!B:B,Feuil2!C:C,"Non trouvé")</f>
        <v>S'il y a un / des poussin(s) coincé(s), retirer-les.</v>
      </c>
    </row>
    <row r="111" spans="1:8" x14ac:dyDescent="0.25">
      <c r="A111" t="s">
        <v>664</v>
      </c>
      <c r="B111" t="s">
        <v>665</v>
      </c>
      <c r="C111" t="s">
        <v>666</v>
      </c>
      <c r="D111" t="s">
        <v>667</v>
      </c>
      <c r="E111" t="s">
        <v>668</v>
      </c>
      <c r="F111" s="3" t="str">
        <f>_xlfn.XLOOKUP("Explication_"&amp;B111,Feuil2!B:B,Feuil2!C:C,"Non trouvé")</f>
        <v>Non trouvé</v>
      </c>
      <c r="G111" t="str">
        <f>_xlfn.XLOOKUP("Cause_"&amp;B111,Feuil2!B:B,Feuil2!C:C,"Non trouvé")</f>
        <v>Non trouvé</v>
      </c>
      <c r="H111" t="str">
        <f>_xlfn.XLOOKUP("Solution_"&amp;B111,Feuil2!B:B,Feuil2!C:C,"Non trouvé")</f>
        <v>Non trouvé</v>
      </c>
    </row>
    <row r="112" spans="1:8" x14ac:dyDescent="0.25">
      <c r="A112" t="s">
        <v>669</v>
      </c>
      <c r="B112" t="s">
        <v>670</v>
      </c>
      <c r="C112" t="s">
        <v>671</v>
      </c>
      <c r="D112" t="s">
        <v>672</v>
      </c>
      <c r="E112" t="s">
        <v>673</v>
      </c>
      <c r="F112" s="3" t="str">
        <f>_xlfn.XLOOKUP("Explication_"&amp;B112,Feuil2!B:B,Feuil2!C:C,"Non trouvé")</f>
        <v>Le PC ne reçoit pas les images</v>
      </c>
      <c r="G112" t="str">
        <f>_xlfn.XLOOKUP("Cause_"&amp;B112,Feuil2!B:B,Feuil2!C:C,"Non trouvé")</f>
        <v>- Perte de communication avec la caméra
- Caméra ou câble défectueux</v>
      </c>
      <c r="H112" t="str">
        <f>_xlfn.XLOOKUP("Solution_"&amp;B112,Feuil2!B:B,Feuil2!C:C,"Non trouvé")</f>
        <v>- Débrancher puis rebrancher les câbles USB des caméras, puis appuyer sur le bouton "INITIALISATION" sur l'IHM
- Si le problème persiste, redémarrer la machine
- Si le problème persiste encore, contacter Ecat-iD</v>
      </c>
    </row>
    <row r="113" spans="1:8" ht="30" x14ac:dyDescent="0.25">
      <c r="A113" t="s">
        <v>674</v>
      </c>
      <c r="B113" t="s">
        <v>675</v>
      </c>
      <c r="C113" t="s">
        <v>676</v>
      </c>
      <c r="D113" t="s">
        <v>677</v>
      </c>
      <c r="E113" t="s">
        <v>678</v>
      </c>
      <c r="F113" s="3" t="str">
        <f>_xlfn.XLOOKUP("Explication_"&amp;B113,Feuil2!B:B,Feuil2!C:C,"Non trouvé")</f>
        <v>La température d'au moins une des deux caméras de la voie est trop élevée. Les performances de la machine peuvent être diminuées.</v>
      </c>
      <c r="G113" t="str">
        <f>_xlfn.XLOOKUP("Cause_"&amp;B113,Feuil2!B:B,Feuil2!C:C,"Non trouvé")</f>
        <v>- Environnement trop chaud
- Mauvaise dissipation de la chaleur dans le caisson caméras</v>
      </c>
      <c r="H113" t="str">
        <f>_xlfn.XLOOKUP("Solution_"&amp;B113,Feuil2!B:B,Feuil2!C:C,"Non trouvé")</f>
        <v>- Contrôler le caisson caméras
- Essayer d'arrêter la machine pendant quelques minutes
- Si le problème persiste, contacter Ecat-iD</v>
      </c>
    </row>
    <row r="114" spans="1:8" x14ac:dyDescent="0.25">
      <c r="A114" t="s">
        <v>679</v>
      </c>
      <c r="B114" t="s">
        <v>680</v>
      </c>
      <c r="C114" t="s">
        <v>681</v>
      </c>
      <c r="D114" t="s">
        <v>682</v>
      </c>
      <c r="E114" t="s">
        <v>683</v>
      </c>
      <c r="F114" s="3" t="str">
        <f>_xlfn.XLOOKUP("Explication_"&amp;B114,Feuil2!B:B,Feuil2!C:C,"Non trouvé")</f>
        <v>Non trouvé</v>
      </c>
      <c r="G114" t="str">
        <f>_xlfn.XLOOKUP("Cause_"&amp;B114,Feuil2!B:B,Feuil2!C:C,"Non trouvé")</f>
        <v>Non trouvé</v>
      </c>
      <c r="H114" t="str">
        <f>_xlfn.XLOOKUP("Solution_"&amp;B114,Feuil2!B:B,Feuil2!C:C,"Non trouvé")</f>
        <v>Non trouvé</v>
      </c>
    </row>
    <row r="115" spans="1:8" x14ac:dyDescent="0.2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s="3" t="str">
        <f>_xlfn.XLOOKUP("Explication_"&amp;B115,Feuil2!B:B,Feuil2!C:C,"Non trouvé")</f>
        <v>Pas assez ou trop d'éclairage sur la voie</v>
      </c>
      <c r="G115" t="str">
        <f>_xlfn.XLOOKUP("Cause_"&amp;B115,Feuil2!B:B,Feuil2!C:C,"Non trouvé")</f>
        <v>- Mauvaise valeur sur le temps d'exposition des caméras.
- Problème de calibration sur les caméras.
- Salissure sur les caméras.
- Problème d'éclairage sur les barres de LED.
- Forte réflexion de lumière sur les rives.</v>
      </c>
      <c r="H115" t="str">
        <f>_xlfn.XLOOKUP("Solution_"&amp;B115,Feuil2!B:B,Feuil2!C:C,"Non trouvé")</f>
        <v>- Vérifier que les éclairages ne soient pas sales
- Vérifier que les éclairages s'allument autant (ni plus, ni moins) que les autres voies qui fonctionnent
- Vérifier qu'il n'y ai pas trop de réflexion de la lumière sur les rives des convoyeurs
- Contrôler le temps d'exposition des caméras (Ecat-iD)
- Refaire une calibration des caméras (Ecat-iD)</v>
      </c>
    </row>
    <row r="116" spans="1:8" ht="30" x14ac:dyDescent="0.25">
      <c r="A116" t="s">
        <v>689</v>
      </c>
      <c r="B116" t="s">
        <v>690</v>
      </c>
      <c r="C116" t="s">
        <v>691</v>
      </c>
      <c r="D116" t="s">
        <v>692</v>
      </c>
      <c r="E116" t="s">
        <v>693</v>
      </c>
      <c r="F116" s="3" t="str">
        <f>_xlfn.XLOOKUP("Explication_"&amp;B116,Feuil2!B:B,Feuil2!C:C,"Non trouvé")</f>
        <v>Sur plusieurs centaines de poussins d'affilés, il y a eu trop de poussins difficilement sexables</v>
      </c>
      <c r="G116" t="str">
        <f>_xlfn.XLOOKUP("Cause_"&amp;B116,Feuil2!B:B,Feuil2!C:C,"Non trouvé")</f>
        <v>- Poussins issus de parquet trop jeunes (&lt;30 semaines, c'est un problème connu)
- Problème optique ou des salissures sur les caméras.
- Les poussins n'ouvrent pas assez les ailes à cause d'un dysfonctionnement sur les systèmes d'oscillation
- Les poussins sont trop collés (cadence trop élevée ou mauvais répartition entre les voies)</v>
      </c>
      <c r="H116" t="str">
        <f>_xlfn.XLOOKUP("Solution_"&amp;B116,Feuil2!B:B,Feuil2!C:C,"Non trouvé")</f>
        <v>- Vérifier l'âge du parquet (normal si &lt; à 30 semaines)
- Contrôler les éclairages
- Contrôler les systèmes d'oscillation
- Faire attention à la répartition, la quantité, et le nombre de poussins sur la table de tri pour éviter d'avoir trop de poussins collés</v>
      </c>
    </row>
    <row r="117" spans="1:8" ht="30" x14ac:dyDescent="0.25">
      <c r="A117" t="s">
        <v>694</v>
      </c>
      <c r="B117" t="s">
        <v>695</v>
      </c>
      <c r="C117" t="s">
        <v>696</v>
      </c>
      <c r="D117" t="s">
        <v>697</v>
      </c>
      <c r="E117" t="s">
        <v>698</v>
      </c>
      <c r="F117" s="3" t="str">
        <f>_xlfn.XLOOKUP("Explication_"&amp;B117,Feuil2!B:B,Feuil2!C:C,"Non trouvé")</f>
        <v>Sur plusieurs centaines de poussins d'affilés, il y a eu trop de poussins collés</v>
      </c>
      <c r="G117" t="str">
        <f>_xlfn.XLOOKUP("Cause_"&amp;B117,Feuil2!B:B,Feuil2!C:C,"Non trouvé")</f>
        <v>- Poussins coincés
- Cadence trop élevée
- Mauvaise séparation sur la table de tri
- Problème sur les convoyeurs de séparation.</v>
      </c>
      <c r="H117" t="str">
        <f>_xlfn.XLOOKUP("Solution_"&amp;B117,Feuil2!B:B,Feuil2!C:C,"Non trouvé")</f>
        <v>- Réduire la cadence
- Vérifier la bonne répartition sur la ligne de tri
- Vérifier le bon fonctionnement du convoyeur séparateur</v>
      </c>
    </row>
    <row r="118" spans="1:8" x14ac:dyDescent="0.25">
      <c r="A118" t="s">
        <v>699</v>
      </c>
      <c r="B118" t="s">
        <v>700</v>
      </c>
      <c r="C118" t="s">
        <v>701</v>
      </c>
      <c r="D118" t="s">
        <v>702</v>
      </c>
      <c r="E118" t="s">
        <v>703</v>
      </c>
      <c r="F118" s="3" t="str">
        <f>_xlfn.XLOOKUP("Explication_"&amp;B118,Feuil2!B:B,Feuil2!C:C,"Non trouvé")</f>
        <v>Le disque dur SSD du PC est occupé à plus de 90% de sa capacité</v>
      </c>
      <c r="G118" t="str">
        <f>_xlfn.XLOOKUP("Cause_"&amp;B118,Feuil2!B:B,Feuil2!C:C,"Non trouvé")</f>
        <v>- Tests en cours avec la sauvegarde des images activée.
- Quelqu'un a oublié de désactiver la sauvegarde des images dans le fichier de configuration</v>
      </c>
      <c r="H118" t="str">
        <f>_xlfn.XLOOKUP("Solution_"&amp;B118,Feuil2!B:B,Feuil2!C:C,"Non trouvé")</f>
        <v>- Vérifier le fichier de config (Ecat-iD)
- Contacter Ecat-iD</v>
      </c>
    </row>
    <row r="119" spans="1:8" x14ac:dyDescent="0.25">
      <c r="A119" t="s">
        <v>704</v>
      </c>
      <c r="B119" t="s">
        <v>705</v>
      </c>
      <c r="C119" t="s">
        <v>706</v>
      </c>
      <c r="D119" t="s">
        <v>707</v>
      </c>
      <c r="E119" t="s">
        <v>708</v>
      </c>
      <c r="F119" s="3" t="str">
        <f>_xlfn.XLOOKUP("Explication_"&amp;B119,Feuil2!B:B,Feuil2!C:C,"Non trouvé")</f>
        <v>Non trouvé</v>
      </c>
      <c r="G119" t="str">
        <f>_xlfn.XLOOKUP("Cause_"&amp;B119,Feuil2!B:B,Feuil2!C:C,"Non trouvé")</f>
        <v>Non trouvé</v>
      </c>
      <c r="H119" t="str">
        <f>_xlfn.XLOOKUP("Solution_"&amp;B119,Feuil2!B:B,Feuil2!C:C,"Non trouvé")</f>
        <v>Non trouvé</v>
      </c>
    </row>
    <row r="120" spans="1:8" x14ac:dyDescent="0.25">
      <c r="A120" t="s">
        <v>709</v>
      </c>
      <c r="B120" t="s">
        <v>710</v>
      </c>
      <c r="C120" t="s">
        <v>711</v>
      </c>
      <c r="D120" t="s">
        <v>712</v>
      </c>
      <c r="E120" t="s">
        <v>713</v>
      </c>
      <c r="F120" s="3" t="str">
        <f>_xlfn.XLOOKUP("Explication_"&amp;B120,Feuil2!B:B,Feuil2!C:C,"Non trouvé")</f>
        <v>Non trouvé</v>
      </c>
      <c r="G120" t="str">
        <f>_xlfn.XLOOKUP("Cause_"&amp;B120,Feuil2!B:B,Feuil2!C:C,"Non trouvé")</f>
        <v>Non trouvé</v>
      </c>
      <c r="H120" t="str">
        <f>_xlfn.XLOOKUP("Solution_"&amp;B120,Feuil2!B:B,Feuil2!C:C,"Non trouvé")</f>
        <v>Non trouvé</v>
      </c>
    </row>
    <row r="121" spans="1:8" x14ac:dyDescent="0.25">
      <c r="A121" t="s">
        <v>714</v>
      </c>
      <c r="B121" t="s">
        <v>715</v>
      </c>
      <c r="C121" t="s">
        <v>716</v>
      </c>
      <c r="D121" t="s">
        <v>717</v>
      </c>
      <c r="E121" t="s">
        <v>718</v>
      </c>
      <c r="F121" s="3" t="str">
        <f>_xlfn.XLOOKUP("Explication_"&amp;B121,Feuil2!B:B,Feuil2!C:C,"Non trouvé")</f>
        <v>Non trouvé</v>
      </c>
      <c r="G121" t="str">
        <f>_xlfn.XLOOKUP("Cause_"&amp;B121,Feuil2!B:B,Feuil2!C:C,"Non trouvé")</f>
        <v>Non trouvé</v>
      </c>
      <c r="H121" t="str">
        <f>_xlfn.XLOOKUP("Solution_"&amp;B121,Feuil2!B:B,Feuil2!C:C,"Non trouvé")</f>
        <v>Non trouvé</v>
      </c>
    </row>
    <row r="122" spans="1:8" x14ac:dyDescent="0.25">
      <c r="A122" t="s">
        <v>719</v>
      </c>
      <c r="B122" t="s">
        <v>720</v>
      </c>
      <c r="C122" t="s">
        <v>721</v>
      </c>
      <c r="D122" t="s">
        <v>722</v>
      </c>
      <c r="E122" t="s">
        <v>723</v>
      </c>
      <c r="F122" s="3" t="str">
        <f>_xlfn.XLOOKUP("Explication_"&amp;B122,Feuil2!B:B,Feuil2!C:C,"Non trouvé")</f>
        <v>La mémoire RAM du est surchargé à plus de 90% de sa capacité</v>
      </c>
      <c r="G122" t="str">
        <f>_xlfn.XLOOKUP("Cause_"&amp;B122,Feuil2!B:B,Feuil2!C:C,"Non trouvé")</f>
        <v>- Tests en cours avec la sauvegarde des images activée.
- Quelqu'un a cliqué dans la console de l'application (= freeze de l'application)
- Quelqu'un a oublié de désactiver la sauvegarde des images dans le fichier de configuration</v>
      </c>
      <c r="H122" t="str">
        <f>_xlfn.XLOOKUP("Solution_"&amp;B122,Feuil2!B:B,Feuil2!C:C,"Non trouvé")</f>
        <v>- Vérifier le fichier de config (Ecat-iD)
- Contacter Ecat-iD</v>
      </c>
    </row>
    <row r="123" spans="1:8" x14ac:dyDescent="0.25">
      <c r="A123" t="s">
        <v>724</v>
      </c>
      <c r="B123" t="s">
        <v>725</v>
      </c>
      <c r="C123" t="s">
        <v>726</v>
      </c>
      <c r="D123" t="s">
        <v>727</v>
      </c>
      <c r="E123" t="s">
        <v>728</v>
      </c>
      <c r="F123" s="3" t="str">
        <f>_xlfn.XLOOKUP("Explication_"&amp;B123,Feuil2!B:B,Feuil2!C:C,"Non trouvé")</f>
        <v>Non trouvé</v>
      </c>
      <c r="G123" t="str">
        <f>_xlfn.XLOOKUP("Cause_"&amp;B123,Feuil2!B:B,Feuil2!C:C,"Non trouvé")</f>
        <v>Non trouvé</v>
      </c>
      <c r="H123" t="str">
        <f>_xlfn.XLOOKUP("Solution_"&amp;B123,Feuil2!B:B,Feuil2!C:C,"Non trouvé")</f>
        <v>Non trouvé</v>
      </c>
    </row>
    <row r="124" spans="1:8" x14ac:dyDescent="0.25">
      <c r="A124" t="s">
        <v>729</v>
      </c>
      <c r="B124" t="s">
        <v>730</v>
      </c>
      <c r="C124" t="s">
        <v>731</v>
      </c>
      <c r="D124" t="s">
        <v>732</v>
      </c>
      <c r="E124" t="s">
        <v>733</v>
      </c>
      <c r="F124" s="3" t="str">
        <f>_xlfn.XLOOKUP("Explication_"&amp;B124,Feuil2!B:B,Feuil2!C:C,"Non trouvé")</f>
        <v>La CPU du PC est surchargé à plus de 95% de sa capacité</v>
      </c>
      <c r="G124" t="str">
        <f>_xlfn.XLOOKUP("Cause_"&amp;B124,Feuil2!B:B,Feuil2!C:C,"Non trouvé")</f>
        <v>Quelque chose occupe les ressources du PC (OS, driver, programme, etc…)</v>
      </c>
      <c r="H124" t="str">
        <f>_xlfn.XLOOKUP("Solution_"&amp;B124,Feuil2!B:B,Feuil2!C:C,"Non trouvé")</f>
        <v>- Redémarrer le PC
- Si le problème persiste, contacter Ecat-iD</v>
      </c>
    </row>
    <row r="125" spans="1:8" ht="45" x14ac:dyDescent="0.25">
      <c r="A125" t="s">
        <v>734</v>
      </c>
      <c r="B125" t="s">
        <v>735</v>
      </c>
      <c r="C125" t="s">
        <v>736</v>
      </c>
      <c r="D125" t="s">
        <v>737</v>
      </c>
      <c r="E125" t="s">
        <v>738</v>
      </c>
      <c r="F125" s="3" t="str">
        <f>_xlfn.XLOOKUP("Explication_"&amp;B125,Feuil2!B:B,Feuil2!C:C,"Non trouvé")</f>
        <v>Le débit d'air mesuré par le capteur de débit a été hors plage de fonctionnement pendant un certain nombre de fois. Ces codes sont pour l'aiguillage vers la voie intérieure.</v>
      </c>
      <c r="G125" t="str">
        <f>_xlfn.XLOOKUP("Cause_"&amp;B125,Feuil2!B:B,Feuil2!C:C,"Non trouvé")</f>
        <v>- Niveau d'air trop faible ou trop élevé
- Electrovanne bouchée ou colmatée
- Tuyau endommagé (plié, bouché, percé, etc…)</v>
      </c>
      <c r="H125" t="str">
        <f>_xlfn.XLOOKUP("Solution_"&amp;B125,Feuil2!B:B,Feuil2!C:C,"Non trouvé")</f>
        <v>- Contrôler le niveau d'air
- Contrôler l'électrovanne
- Contrôler le tuyau d'air
- Changer l'électrovanne et / ou le tuyau si nécessaire</v>
      </c>
    </row>
    <row r="126" spans="1:8" ht="45" x14ac:dyDescent="0.25">
      <c r="A126" t="s">
        <v>739</v>
      </c>
      <c r="B126" t="s">
        <v>740</v>
      </c>
      <c r="C126" t="s">
        <v>741</v>
      </c>
      <c r="D126" t="s">
        <v>742</v>
      </c>
      <c r="E126" t="s">
        <v>743</v>
      </c>
      <c r="F126" s="3" t="str">
        <f>_xlfn.XLOOKUP("Explication_"&amp;B126,Feuil2!B:B,Feuil2!C:C,"Non trouvé")</f>
        <v>Le débit d'air mesuré par le capteur de débit a été hors plage de fonctionnement pendant un certain nombre de fois. Ces codes sont pour l'aiguillage vers la voie intérieure.</v>
      </c>
      <c r="G126" t="str">
        <f>_xlfn.XLOOKUP("Cause_"&amp;B126,Feuil2!B:B,Feuil2!C:C,"Non trouvé")</f>
        <v>- Niveau d'air trop faible ou trop élevé
- Electrovanne bouchée ou colmatée
- Tuyau endommagé (plié, bouché, percé, etc…)</v>
      </c>
      <c r="H126" t="str">
        <f>_xlfn.XLOOKUP("Solution_"&amp;B126,Feuil2!B:B,Feuil2!C:C,"Non trouvé")</f>
        <v>- Contrôler le niveau d'air
- Contrôler l'électrovanne
- Contrôler le tuyau d'air
- Changer l'électrovanne et / ou le tuyau si nécessaire</v>
      </c>
    </row>
    <row r="127" spans="1:8" ht="45" x14ac:dyDescent="0.25">
      <c r="A127" t="s">
        <v>744</v>
      </c>
      <c r="B127" t="s">
        <v>745</v>
      </c>
      <c r="C127" t="s">
        <v>746</v>
      </c>
      <c r="D127" t="s">
        <v>747</v>
      </c>
      <c r="E127" t="s">
        <v>748</v>
      </c>
      <c r="F127" s="3" t="str">
        <f>_xlfn.XLOOKUP("Explication_"&amp;B127,Feuil2!B:B,Feuil2!C:C,"Non trouvé")</f>
        <v>La température d'au moins une des deux caméras de la voie est critique. Les performances de la machine sont diminuées et il est urgent de faire quelque chose.</v>
      </c>
      <c r="G127" t="str">
        <f>_xlfn.XLOOKUP("Cause_"&amp;B127,Feuil2!B:B,Feuil2!C:C,"Non trouvé")</f>
        <v>- Environnement trop chaud
- Mauvaise dissipation de la chaleur dans le caisson caméras</v>
      </c>
      <c r="H127" t="str">
        <f>_xlfn.XLOOKUP("Solution_"&amp;B127,Feuil2!B:B,Feuil2!C:C,"Non trouvé")</f>
        <v>- Contrôler le caisson caméras
- Essayer d'arrêter la machine pendant quelques minutes
- Si le problème persiste, contacter Ecat-iD</v>
      </c>
    </row>
    <row r="128" spans="1:8" x14ac:dyDescent="0.25">
      <c r="A128" t="s">
        <v>749</v>
      </c>
      <c r="B128" t="s">
        <v>750</v>
      </c>
      <c r="C128" t="s">
        <v>751</v>
      </c>
      <c r="D128" t="s">
        <v>752</v>
      </c>
      <c r="E128" t="s">
        <v>753</v>
      </c>
      <c r="F128" s="3" t="str">
        <f>_xlfn.XLOOKUP("Explication_"&amp;B128,Feuil2!B:B,Feuil2!C:C,"Non trouvé")</f>
        <v>L'automate ne communique pas avec le capteur</v>
      </c>
      <c r="G128" t="str">
        <f>_xlfn.XLOOKUP("Cause_"&amp;B128,Feuil2!B:B,Feuil2!C:C,"Non trouvé")</f>
        <v>- Capteur défectueux
- Câble défectueux</v>
      </c>
      <c r="H128" t="str">
        <f>_xlfn.XLOOKUP("Solution_"&amp;B128,Feuil2!B:B,Feuil2!C:C,"Non trouvé")</f>
        <v>- Vérifier l'état du capteur et son câble et changer ce qui doit l'être
- Si le problème persiste, contacter Ecat-iD</v>
      </c>
    </row>
    <row r="129" spans="1:8" ht="30" x14ac:dyDescent="0.25">
      <c r="A129" t="s">
        <v>754</v>
      </c>
      <c r="B129" t="s">
        <v>755</v>
      </c>
      <c r="C129" t="s">
        <v>756</v>
      </c>
      <c r="D129" t="s">
        <v>757</v>
      </c>
      <c r="E129" t="s">
        <v>758</v>
      </c>
      <c r="F129" s="3" t="str">
        <f>_xlfn.XLOOKUP("Explication_"&amp;B129,Feuil2!B:B,Feuil2!C:C,"Non trouvé")</f>
        <v>Il y a un problème (matériel ou logiciel) sur la carte graphique du PC, qui ne peut donc pas analyser les images</v>
      </c>
      <c r="G129" t="str">
        <f>_xlfn.XLOOKUP("Cause_"&amp;B129,Feuil2!B:B,Feuil2!C:C,"Non trouvé")</f>
        <v>- Problème matériel
- Problème logiciel</v>
      </c>
      <c r="H129" t="str">
        <f>_xlfn.XLOOKUP("Solution_"&amp;B129,Feuil2!B:B,Feuil2!C:C,"Non trouvé")</f>
        <v>- Redémarrer la machine
- Si le problème persiste, contacter Ecat-iD</v>
      </c>
    </row>
    <row r="130" spans="1:8" x14ac:dyDescent="0.25">
      <c r="A130" t="s">
        <v>759</v>
      </c>
      <c r="B130" t="s">
        <v>760</v>
      </c>
      <c r="C130" t="s">
        <v>761</v>
      </c>
      <c r="D130" t="s">
        <v>762</v>
      </c>
      <c r="E130" t="s">
        <v>763</v>
      </c>
      <c r="F130" s="3" t="str">
        <f>_xlfn.XLOOKUP("Explication_"&amp;B130,Feuil2!B:B,Feuil2!C:C,"Non trouvé")</f>
        <v>L'application n'arrive pas à démarrer correctement</v>
      </c>
      <c r="G130" t="str">
        <f>_xlfn.XLOOKUP("Cause_"&amp;B130,Feuil2!B:B,Feuil2!C:C,"Non trouvé")</f>
        <v>L'application a du mal à initialiser un de ses modules : carte PCI, caméras, carte graphique, etc…</v>
      </c>
      <c r="H130" t="str">
        <f>_xlfn.XLOOKUP("Solution_"&amp;B130,Feuil2!B:B,Feuil2!C:C,"Non trouvé")</f>
        <v>- Redémarrer la machine
- Si le problème persiste, contacter Ecat-iD</v>
      </c>
    </row>
    <row r="131" spans="1:8" ht="45" x14ac:dyDescent="0.25">
      <c r="A131" t="s">
        <v>764</v>
      </c>
      <c r="B131" t="s">
        <v>765</v>
      </c>
      <c r="C131" t="s">
        <v>766</v>
      </c>
      <c r="D131" t="s">
        <v>767</v>
      </c>
      <c r="E131" t="s">
        <v>738</v>
      </c>
      <c r="F131" s="3" t="str">
        <f>_xlfn.XLOOKUP("Explication_"&amp;B131,Feuil2!B:B,Feuil2!C:C,"Non trouvé")</f>
        <v>Le débit d'air mesuré par le capteur de débit a été hors plage de fonctionnement pendant un certain nombre de fois. Ces codes sont pour l'aiguillage vers la voie extérieure.</v>
      </c>
      <c r="G131" t="str">
        <f>_xlfn.XLOOKUP("Cause_"&amp;B131,Feuil2!B:B,Feuil2!C:C,"Non trouvé")</f>
        <v>- Niveau d'air trop faible ou trop élevé
- Electrovanne bouchée ou colmatée
- Tuyau endommagé (plié, bouché, percé, etc…)</v>
      </c>
      <c r="H131" t="str">
        <f>_xlfn.XLOOKUP("Solution_"&amp;B131,Feuil2!B:B,Feuil2!C:C,"Non trouvé")</f>
        <v>- Contrôler le niveau d'air
- Contrôler l'électrovanne
- Contrôler le tuyau d'air
- Changer l'électrovanne et / ou le tuyau si nécessaire</v>
      </c>
    </row>
    <row r="132" spans="1:8" ht="45" x14ac:dyDescent="0.25">
      <c r="A132" t="s">
        <v>768</v>
      </c>
      <c r="B132" t="s">
        <v>769</v>
      </c>
      <c r="C132" t="s">
        <v>770</v>
      </c>
      <c r="D132" t="s">
        <v>771</v>
      </c>
      <c r="E132" t="s">
        <v>743</v>
      </c>
      <c r="F132" s="3" t="str">
        <f>_xlfn.XLOOKUP("Explication_"&amp;B132,Feuil2!B:B,Feuil2!C:C,"Non trouvé")</f>
        <v>Le débit d'air mesuré par le capteur de débit a été hors plage de fonctionnement pendant un certain nombre de fois. Ces codes sont pour l'aiguillage vers la voie extérieure.</v>
      </c>
      <c r="G132" t="str">
        <f>_xlfn.XLOOKUP("Cause_"&amp;B132,Feuil2!B:B,Feuil2!C:C,"Non trouvé")</f>
        <v>- Niveau d'air trop faible ou trop élevé
- Electrovanne bouchée ou colmatée
- Tuyau endommagé (plié, bouché, percé, etc…)</v>
      </c>
      <c r="H132" t="str">
        <f>_xlfn.XLOOKUP("Solution_"&amp;B132,Feuil2!B:B,Feuil2!C:C,"Non trouvé")</f>
        <v>- Contrôler le niveau d'air
- Contrôler l'électrovanne
- Contrôler le tuyau d'air
- Changer l'électrovanne et / ou le tuyau si nécessaire</v>
      </c>
    </row>
    <row r="133" spans="1:8" ht="45" x14ac:dyDescent="0.25">
      <c r="A133" t="s">
        <v>659</v>
      </c>
      <c r="B133" t="s">
        <v>772</v>
      </c>
      <c r="C133" t="s">
        <v>773</v>
      </c>
      <c r="D133" t="s">
        <v>774</v>
      </c>
      <c r="E133" t="s">
        <v>775</v>
      </c>
      <c r="F133" s="3" t="str">
        <f>_xlfn.XLOOKUP("Explication_"&amp;B133,Feuil2!B:B,Feuil2!C:C,"Non trouvé")</f>
        <v>La machine estime qu'il y a au moins un poussin coincé quelque part, ce qui provoque des tas de poussins sur cette voie, sous l'analyse. Cela fausse donc les résultats.</v>
      </c>
      <c r="G133" t="str">
        <f>_xlfn.XLOOKUP("Cause_"&amp;B133,Feuil2!B:B,Feuil2!C:C,"Non trouvé")</f>
        <v>Un poussin est passé sous la bande du convoyeur ou est coincé sous une rive et provoque des tas de poussins.</v>
      </c>
      <c r="H133" t="str">
        <f>_xlfn.XLOOKUP("Solution_"&amp;B133,Feuil2!B:B,Feuil2!C:C,"Non trouvé")</f>
        <v>S'il y a un / des poussin(s) coincé(s), retirer-les.</v>
      </c>
    </row>
    <row r="134" spans="1:8" ht="30" x14ac:dyDescent="0.25">
      <c r="A134" t="s">
        <v>654</v>
      </c>
      <c r="B134" t="s">
        <v>776</v>
      </c>
      <c r="C134" t="s">
        <v>777</v>
      </c>
      <c r="D134" t="s">
        <v>778</v>
      </c>
      <c r="E134" t="s">
        <v>779</v>
      </c>
      <c r="F134" s="3" t="str">
        <f>_xlfn.XLOOKUP("Explication_"&amp;B134,Feuil2!B:B,Feuil2!C:C,"Non trouvé")</f>
        <v>Il n'y a pas de communication entre l'automate (PLC) et l'application informatique de cette voie.</v>
      </c>
      <c r="G134" t="str">
        <f>_xlfn.XLOOKUP("Cause_"&amp;B134,Feuil2!B:B,Feuil2!C:C,"Non trouvé")</f>
        <v>- Le PC est en défaut : freeze, écran bleu, pas d'alimentation, etc…
- Liaison Ethernet PC / PLC défaillante</v>
      </c>
      <c r="H134" t="str">
        <f>_xlfn.XLOOKUP("Solution_"&amp;B134,Feuil2!B:B,Feuil2!C:C,"Non trouvé")</f>
        <v>- Eteindre et rallumer la machine
- Vérifier les connexions Ethernet
- Si le problème persiste, contacter Ecat-iD</v>
      </c>
    </row>
    <row r="135" spans="1:8" x14ac:dyDescent="0.25">
      <c r="A135" t="s">
        <v>664</v>
      </c>
      <c r="B135" t="s">
        <v>780</v>
      </c>
      <c r="C135" t="s">
        <v>781</v>
      </c>
      <c r="D135" t="s">
        <v>782</v>
      </c>
      <c r="E135" t="s">
        <v>783</v>
      </c>
      <c r="F135" s="3" t="str">
        <f>_xlfn.XLOOKUP("Explication_"&amp;B135,Feuil2!B:B,Feuil2!C:C,"Non trouvé")</f>
        <v>Non trouvé</v>
      </c>
      <c r="G135" t="str">
        <f>_xlfn.XLOOKUP("Cause_"&amp;B135,Feuil2!B:B,Feuil2!C:C,"Non trouvé")</f>
        <v>Non trouvé</v>
      </c>
      <c r="H135" t="str">
        <f>_xlfn.XLOOKUP("Solution_"&amp;B135,Feuil2!B:B,Feuil2!C:C,"Non trouvé")</f>
        <v>Non trouvé</v>
      </c>
    </row>
    <row r="136" spans="1:8" x14ac:dyDescent="0.25">
      <c r="A136" t="s">
        <v>669</v>
      </c>
      <c r="B136" t="s">
        <v>784</v>
      </c>
      <c r="C136" t="s">
        <v>785</v>
      </c>
      <c r="D136" t="s">
        <v>786</v>
      </c>
      <c r="E136" t="s">
        <v>787</v>
      </c>
      <c r="F136" s="3" t="str">
        <f>_xlfn.XLOOKUP("Explication_"&amp;B136,Feuil2!B:B,Feuil2!C:C,"Non trouvé")</f>
        <v>Le PC ne reçoit pas les images</v>
      </c>
      <c r="G136" t="str">
        <f>_xlfn.XLOOKUP("Cause_"&amp;B136,Feuil2!B:B,Feuil2!C:C,"Non trouvé")</f>
        <v>- Perte de communication avec la caméra
- Caméra ou câble défectueux</v>
      </c>
      <c r="H136" t="str">
        <f>_xlfn.XLOOKUP("Solution_"&amp;B136,Feuil2!B:B,Feuil2!C:C,"Non trouvé")</f>
        <v>- Débrancher puis rebrancher les câbles USB des caméras, puis appuyer sur le bouton "INITIALISATION" sur l'IHM
- Si le problème persiste, redémarrer la machine
- Si le problème persiste encore, contacter Ecat-iD</v>
      </c>
    </row>
    <row r="137" spans="1:8" ht="30" x14ac:dyDescent="0.25">
      <c r="A137" t="s">
        <v>674</v>
      </c>
      <c r="B137" t="s">
        <v>788</v>
      </c>
      <c r="C137" t="s">
        <v>789</v>
      </c>
      <c r="D137" t="s">
        <v>790</v>
      </c>
      <c r="E137" t="s">
        <v>791</v>
      </c>
      <c r="F137" s="3" t="str">
        <f>_xlfn.XLOOKUP("Explication_"&amp;B137,Feuil2!B:B,Feuil2!C:C,"Non trouvé")</f>
        <v>La température d'au moins une des deux caméras de la voie est trop élevée. Les performances de la machine peuvent être diminuées.</v>
      </c>
      <c r="G137" t="str">
        <f>_xlfn.XLOOKUP("Cause_"&amp;B137,Feuil2!B:B,Feuil2!C:C,"Non trouvé")</f>
        <v>- Environnement trop chaud
- Mauvaise dissipation de la chaleur dans le caisson caméras</v>
      </c>
      <c r="H137" t="str">
        <f>_xlfn.XLOOKUP("Solution_"&amp;B137,Feuil2!B:B,Feuil2!C:C,"Non trouvé")</f>
        <v>- Contrôler le caisson caméras
- Essayer d'arrêter la machine pendant quelques minutes
- Si le problème persiste, contacter Ecat-iD</v>
      </c>
    </row>
    <row r="138" spans="1:8" x14ac:dyDescent="0.25">
      <c r="A138" t="s">
        <v>679</v>
      </c>
      <c r="B138" t="s">
        <v>792</v>
      </c>
      <c r="C138" t="s">
        <v>793</v>
      </c>
      <c r="D138" t="s">
        <v>794</v>
      </c>
      <c r="E138" t="s">
        <v>795</v>
      </c>
      <c r="F138" s="3" t="str">
        <f>_xlfn.XLOOKUP("Explication_"&amp;B138,Feuil2!B:B,Feuil2!C:C,"Non trouvé")</f>
        <v>Non trouvé</v>
      </c>
      <c r="G138" t="str">
        <f>_xlfn.XLOOKUP("Cause_"&amp;B138,Feuil2!B:B,Feuil2!C:C,"Non trouvé")</f>
        <v>Non trouvé</v>
      </c>
      <c r="H138" t="str">
        <f>_xlfn.XLOOKUP("Solution_"&amp;B138,Feuil2!B:B,Feuil2!C:C,"Non trouvé")</f>
        <v>Non trouvé</v>
      </c>
    </row>
    <row r="139" spans="1:8" x14ac:dyDescent="0.25">
      <c r="A139" t="s">
        <v>684</v>
      </c>
      <c r="B139" t="s">
        <v>796</v>
      </c>
      <c r="C139" t="s">
        <v>797</v>
      </c>
      <c r="D139" t="s">
        <v>798</v>
      </c>
      <c r="E139" t="s">
        <v>799</v>
      </c>
      <c r="F139" s="3" t="str">
        <f>_xlfn.XLOOKUP("Explication_"&amp;B139,Feuil2!B:B,Feuil2!C:C,"Non trouvé")</f>
        <v>Pas assez ou trop d'éclairage sur la voie</v>
      </c>
      <c r="G139" t="str">
        <f>_xlfn.XLOOKUP("Cause_"&amp;B139,Feuil2!B:B,Feuil2!C:C,"Non trouvé")</f>
        <v>- Mauvaise valeur sur le temps d'exposition des caméras.
- Problème de calibration sur les caméras.
- Salissure sur les caméras.
- Problème d'éclairage sur les barres de LED.
- Forte réflexion de lumière sur les rives.</v>
      </c>
      <c r="H139" t="str">
        <f>_xlfn.XLOOKUP("Solution_"&amp;B139,Feuil2!B:B,Feuil2!C:C,"Non trouvé")</f>
        <v>- Vérifier que les éclairages ne soient pas sales
- Vérifier que les éclairages s'allument autant (ni plus, ni moins) que les autres voies qui fonctionnent
- Vérifier qu'il n'y ai pas trop de réflexion de la lumière sur les rives des convoyeurs
- Contrôler le temps d'exposition des caméras (Ecat-iD)
- Refaire une calibration des caméras (Ecat-iD)</v>
      </c>
    </row>
    <row r="140" spans="1:8" ht="30" x14ac:dyDescent="0.25">
      <c r="A140" t="s">
        <v>689</v>
      </c>
      <c r="B140" t="s">
        <v>800</v>
      </c>
      <c r="C140" t="s">
        <v>801</v>
      </c>
      <c r="D140" t="s">
        <v>802</v>
      </c>
      <c r="E140" t="s">
        <v>803</v>
      </c>
      <c r="F140" s="3" t="str">
        <f>_xlfn.XLOOKUP("Explication_"&amp;B140,Feuil2!B:B,Feuil2!C:C,"Non trouvé")</f>
        <v>Sur plusieurs centaines de poussins d'affilés, il y a eu trop de poussins difficilement sexables</v>
      </c>
      <c r="G140" t="str">
        <f>_xlfn.XLOOKUP("Cause_"&amp;B140,Feuil2!B:B,Feuil2!C:C,"Non trouvé")</f>
        <v>- Poussins issus de parquet trop jeunes (&lt;30 semaines, c'est un problème connu)
- Problème optique ou des salissures sur les caméras.
- Les poussins n'ouvrent pas assez les ailes à cause d'un dysfonctionnement sur les systèmes d'oscillation
- Les poussins sont trop collés (cadence trop élevée ou mauvais répartition entre les voies)</v>
      </c>
      <c r="H140" t="str">
        <f>_xlfn.XLOOKUP("Solution_"&amp;B140,Feuil2!B:B,Feuil2!C:C,"Non trouvé")</f>
        <v>- Vérifier l'âge du parquet (normal si &lt; à 30 semaines)
- Contrôler les éclairages
- Contrôler les systèmes d'oscillation
- Faire attention à la répartition, la quantité, et le nombre de poussins sur la table de tri pour éviter d'avoir trop de poussins collés</v>
      </c>
    </row>
    <row r="141" spans="1:8" ht="30" x14ac:dyDescent="0.25">
      <c r="A141" t="s">
        <v>694</v>
      </c>
      <c r="B141" t="s">
        <v>804</v>
      </c>
      <c r="C141" t="s">
        <v>805</v>
      </c>
      <c r="D141" t="s">
        <v>806</v>
      </c>
      <c r="E141" t="s">
        <v>807</v>
      </c>
      <c r="F141" s="3" t="str">
        <f>_xlfn.XLOOKUP("Explication_"&amp;B141,Feuil2!B:B,Feuil2!C:C,"Non trouvé")</f>
        <v>Sur plusieurs centaines de poussins d'affilés, il y a eu trop de poussins collés</v>
      </c>
      <c r="G141" t="str">
        <f>_xlfn.XLOOKUP("Cause_"&amp;B141,Feuil2!B:B,Feuil2!C:C,"Non trouvé")</f>
        <v>- Poussins coincés
- Cadence trop élevée
- Mauvaise séparation sur la table de tri
- Problème sur les convoyeurs de séparation.</v>
      </c>
      <c r="H141" t="str">
        <f>_xlfn.XLOOKUP("Solution_"&amp;B141,Feuil2!B:B,Feuil2!C:C,"Non trouvé")</f>
        <v>- Réduire la cadence
- Vérifier la bonne répartition sur la ligne de tri
- Vérifier le bon fonctionnement du convoyeur séparateur</v>
      </c>
    </row>
    <row r="142" spans="1:8" x14ac:dyDescent="0.25">
      <c r="A142" t="s">
        <v>699</v>
      </c>
      <c r="B142" t="s">
        <v>808</v>
      </c>
      <c r="C142" t="s">
        <v>809</v>
      </c>
      <c r="D142" t="s">
        <v>810</v>
      </c>
      <c r="E142" t="s">
        <v>811</v>
      </c>
      <c r="F142" s="3" t="str">
        <f>_xlfn.XLOOKUP("Explication_"&amp;B142,Feuil2!B:B,Feuil2!C:C,"Non trouvé")</f>
        <v>Le disque dur SSD du PC est occupé à plus de 90% de sa capacité</v>
      </c>
      <c r="G142" t="str">
        <f>_xlfn.XLOOKUP("Cause_"&amp;B142,Feuil2!B:B,Feuil2!C:C,"Non trouvé")</f>
        <v>- Tests en cours avec la sauvegarde des images activée.
- Quelqu'un a oublié de désactiver la sauvegarde des images dans le fichier de configuration</v>
      </c>
      <c r="H142" t="str">
        <f>_xlfn.XLOOKUP("Solution_"&amp;B142,Feuil2!B:B,Feuil2!C:C,"Non trouvé")</f>
        <v>- Vérifier le fichier de config (Ecat-iD)
- Contacter Ecat-iD</v>
      </c>
    </row>
    <row r="143" spans="1:8" x14ac:dyDescent="0.25">
      <c r="A143" t="s">
        <v>704</v>
      </c>
      <c r="B143" t="s">
        <v>812</v>
      </c>
      <c r="C143" t="s">
        <v>813</v>
      </c>
      <c r="D143" t="s">
        <v>814</v>
      </c>
      <c r="E143" t="s">
        <v>815</v>
      </c>
      <c r="F143" s="3" t="str">
        <f>_xlfn.XLOOKUP("Explication_"&amp;B143,Feuil2!B:B,Feuil2!C:C,"Non trouvé")</f>
        <v>Non trouvé</v>
      </c>
      <c r="G143" t="str">
        <f>_xlfn.XLOOKUP("Cause_"&amp;B143,Feuil2!B:B,Feuil2!C:C,"Non trouvé")</f>
        <v>Non trouvé</v>
      </c>
      <c r="H143" t="str">
        <f>_xlfn.XLOOKUP("Solution_"&amp;B143,Feuil2!B:B,Feuil2!C:C,"Non trouvé")</f>
        <v>Non trouvé</v>
      </c>
    </row>
    <row r="144" spans="1:8" x14ac:dyDescent="0.25">
      <c r="A144" t="s">
        <v>709</v>
      </c>
      <c r="B144" t="s">
        <v>816</v>
      </c>
      <c r="C144" t="s">
        <v>817</v>
      </c>
      <c r="D144" t="s">
        <v>818</v>
      </c>
      <c r="E144" t="s">
        <v>713</v>
      </c>
      <c r="F144" s="3" t="str">
        <f>_xlfn.XLOOKUP("Explication_"&amp;B144,Feuil2!B:B,Feuil2!C:C,"Non trouvé")</f>
        <v>Non trouvé</v>
      </c>
      <c r="G144" t="str">
        <f>_xlfn.XLOOKUP("Cause_"&amp;B144,Feuil2!B:B,Feuil2!C:C,"Non trouvé")</f>
        <v>Non trouvé</v>
      </c>
      <c r="H144" t="str">
        <f>_xlfn.XLOOKUP("Solution_"&amp;B144,Feuil2!B:B,Feuil2!C:C,"Non trouvé")</f>
        <v>Non trouvé</v>
      </c>
    </row>
    <row r="145" spans="1:8" x14ac:dyDescent="0.25">
      <c r="A145" t="s">
        <v>714</v>
      </c>
      <c r="B145" t="s">
        <v>819</v>
      </c>
      <c r="C145" t="s">
        <v>820</v>
      </c>
      <c r="D145" t="s">
        <v>821</v>
      </c>
      <c r="E145" t="s">
        <v>718</v>
      </c>
      <c r="F145" s="3" t="str">
        <f>_xlfn.XLOOKUP("Explication_"&amp;B145,Feuil2!B:B,Feuil2!C:C,"Non trouvé")</f>
        <v>Non trouvé</v>
      </c>
      <c r="G145" t="str">
        <f>_xlfn.XLOOKUP("Cause_"&amp;B145,Feuil2!B:B,Feuil2!C:C,"Non trouvé")</f>
        <v>Non trouvé</v>
      </c>
      <c r="H145" t="str">
        <f>_xlfn.XLOOKUP("Solution_"&amp;B145,Feuil2!B:B,Feuil2!C:C,"Non trouvé")</f>
        <v>Non trouvé</v>
      </c>
    </row>
    <row r="146" spans="1:8" x14ac:dyDescent="0.25">
      <c r="A146" t="s">
        <v>719</v>
      </c>
      <c r="B146" t="s">
        <v>822</v>
      </c>
      <c r="C146" t="s">
        <v>823</v>
      </c>
      <c r="D146" t="s">
        <v>824</v>
      </c>
      <c r="E146" t="s">
        <v>723</v>
      </c>
      <c r="F146" s="3" t="str">
        <f>_xlfn.XLOOKUP("Explication_"&amp;B146,Feuil2!B:B,Feuil2!C:C,"Non trouvé")</f>
        <v>La mémoire RAM du est surchargé à plus de 90% de sa capacité</v>
      </c>
      <c r="G146" t="str">
        <f>_xlfn.XLOOKUP("Cause_"&amp;B146,Feuil2!B:B,Feuil2!C:C,"Non trouvé")</f>
        <v>- Tests en cours avec la sauvegarde des images activée.
- Quelqu'un a cliqué dans la console de l'application (= freeze de l'application)
- Quelqu'un a oublié de désactiver la sauvegarde des images dans le fichier de configuration</v>
      </c>
      <c r="H146" t="str">
        <f>_xlfn.XLOOKUP("Solution_"&amp;B146,Feuil2!B:B,Feuil2!C:C,"Non trouvé")</f>
        <v>- Vérifier le fichier de config (Ecat-iD)
- Contacter Ecat-iD</v>
      </c>
    </row>
    <row r="147" spans="1:8" x14ac:dyDescent="0.25">
      <c r="A147" t="s">
        <v>724</v>
      </c>
      <c r="B147" t="s">
        <v>825</v>
      </c>
      <c r="C147" t="s">
        <v>826</v>
      </c>
      <c r="D147" t="s">
        <v>827</v>
      </c>
      <c r="E147" t="s">
        <v>728</v>
      </c>
      <c r="F147" s="3" t="str">
        <f>_xlfn.XLOOKUP("Explication_"&amp;B147,Feuil2!B:B,Feuil2!C:C,"Non trouvé")</f>
        <v>Non trouvé</v>
      </c>
      <c r="G147" t="str">
        <f>_xlfn.XLOOKUP("Cause_"&amp;B147,Feuil2!B:B,Feuil2!C:C,"Non trouvé")</f>
        <v>Non trouvé</v>
      </c>
      <c r="H147" t="str">
        <f>_xlfn.XLOOKUP("Solution_"&amp;B147,Feuil2!B:B,Feuil2!C:C,"Non trouvé")</f>
        <v>Non trouvé</v>
      </c>
    </row>
    <row r="148" spans="1:8" x14ac:dyDescent="0.25">
      <c r="A148" t="s">
        <v>729</v>
      </c>
      <c r="B148" t="s">
        <v>828</v>
      </c>
      <c r="C148" t="s">
        <v>829</v>
      </c>
      <c r="D148" t="s">
        <v>830</v>
      </c>
      <c r="E148" t="s">
        <v>733</v>
      </c>
      <c r="F148" s="3" t="str">
        <f>_xlfn.XLOOKUP("Explication_"&amp;B148,Feuil2!B:B,Feuil2!C:C,"Non trouvé")</f>
        <v>La CPU du PC est surchargé à plus de 95% de sa capacité</v>
      </c>
      <c r="G148" t="str">
        <f>_xlfn.XLOOKUP("Cause_"&amp;B148,Feuil2!B:B,Feuil2!C:C,"Non trouvé")</f>
        <v>Quelque chose occupe les ressources du PC (OS, driver, programme, etc…)</v>
      </c>
      <c r="H148" t="str">
        <f>_xlfn.XLOOKUP("Solution_"&amp;B148,Feuil2!B:B,Feuil2!C:C,"Non trouvé")</f>
        <v>- Redémarrer le PC
- Si le problème persiste, contacter Ecat-iD</v>
      </c>
    </row>
    <row r="149" spans="1:8" ht="45" x14ac:dyDescent="0.25">
      <c r="A149" t="s">
        <v>734</v>
      </c>
      <c r="B149" t="s">
        <v>831</v>
      </c>
      <c r="C149" t="s">
        <v>832</v>
      </c>
      <c r="D149" t="s">
        <v>833</v>
      </c>
      <c r="E149" t="s">
        <v>834</v>
      </c>
      <c r="F149" s="3" t="str">
        <f>_xlfn.XLOOKUP("Explication_"&amp;B149,Feuil2!B:B,Feuil2!C:C,"Non trouvé")</f>
        <v>Le débit d'air mesuré par le capteur de débit a été hors plage de fonctionnement pendant un certain nombre de fois. Ces codes sont pour l'aiguillage vers la voie intérieure.</v>
      </c>
      <c r="G149" t="str">
        <f>_xlfn.XLOOKUP("Cause_"&amp;B149,Feuil2!B:B,Feuil2!C:C,"Non trouvé")</f>
        <v>- Niveau d'air trop faible ou trop élevé
- Electrovanne bouchée ou colmatée
- Tuyau endommagé (plié, bouché, percé, etc…)</v>
      </c>
      <c r="H149" t="str">
        <f>_xlfn.XLOOKUP("Solution_"&amp;B149,Feuil2!B:B,Feuil2!C:C,"Non trouvé")</f>
        <v>- Contrôler le niveau d'air
- Contrôler l'électrovanne
- Contrôler le tuyau d'air
- Changer l'électrovanne et / ou le tuyau si nécessaire</v>
      </c>
    </row>
    <row r="150" spans="1:8" ht="45" x14ac:dyDescent="0.25">
      <c r="A150" t="s">
        <v>739</v>
      </c>
      <c r="B150" t="s">
        <v>835</v>
      </c>
      <c r="C150" t="s">
        <v>836</v>
      </c>
      <c r="D150" t="s">
        <v>837</v>
      </c>
      <c r="E150" t="s">
        <v>838</v>
      </c>
      <c r="F150" s="3" t="str">
        <f>_xlfn.XLOOKUP("Explication_"&amp;B150,Feuil2!B:B,Feuil2!C:C,"Non trouvé")</f>
        <v>Le débit d'air mesuré par le capteur de débit a été hors plage de fonctionnement pendant un certain nombre de fois. Ces codes sont pour l'aiguillage vers la voie intérieure.</v>
      </c>
      <c r="G150" t="str">
        <f>_xlfn.XLOOKUP("Cause_"&amp;B150,Feuil2!B:B,Feuil2!C:C,"Non trouvé")</f>
        <v>- Niveau d'air trop faible ou trop élevé
- Electrovanne bouchée ou colmatée
- Tuyau endommagé (plié, bouché, percé, etc…)</v>
      </c>
      <c r="H150" t="str">
        <f>_xlfn.XLOOKUP("Solution_"&amp;B150,Feuil2!B:B,Feuil2!C:C,"Non trouvé")</f>
        <v>- Contrôler le niveau d'air
- Contrôler l'électrovanne
- Contrôler le tuyau d'air
- Changer l'électrovanne et / ou le tuyau si nécessaire</v>
      </c>
    </row>
    <row r="151" spans="1:8" x14ac:dyDescent="0.25">
      <c r="A151" t="s">
        <v>839</v>
      </c>
      <c r="B151" t="s">
        <v>840</v>
      </c>
      <c r="C151" t="s">
        <v>841</v>
      </c>
      <c r="D151" t="s">
        <v>842</v>
      </c>
      <c r="E151" t="s">
        <v>843</v>
      </c>
      <c r="F151" s="3" t="str">
        <f>_xlfn.XLOOKUP("Explication_"&amp;B151,Feuil2!B:B,Feuil2!C:C,"Non trouvé")</f>
        <v>Non trouvé</v>
      </c>
      <c r="G151" t="str">
        <f>_xlfn.XLOOKUP("Cause_"&amp;B151,Feuil2!B:B,Feuil2!C:C,"Non trouvé")</f>
        <v>Non trouvé</v>
      </c>
      <c r="H151" t="str">
        <f>_xlfn.XLOOKUP("Solution_"&amp;B151,Feuil2!B:B,Feuil2!C:C,"Non trouvé")</f>
        <v>Non trouvé</v>
      </c>
    </row>
    <row r="152" spans="1:8" x14ac:dyDescent="0.25">
      <c r="A152" t="s">
        <v>749</v>
      </c>
      <c r="B152" t="s">
        <v>844</v>
      </c>
      <c r="C152" t="s">
        <v>845</v>
      </c>
      <c r="D152" t="s">
        <v>846</v>
      </c>
      <c r="E152" t="s">
        <v>847</v>
      </c>
      <c r="F152" s="3" t="str">
        <f>_xlfn.XLOOKUP("Explication_"&amp;B152,Feuil2!B:B,Feuil2!C:C,"Non trouvé")</f>
        <v>L'automate ne communique pas avec le capteur</v>
      </c>
      <c r="G152" t="str">
        <f>_xlfn.XLOOKUP("Cause_"&amp;B152,Feuil2!B:B,Feuil2!C:C,"Non trouvé")</f>
        <v>- Capteur défectueux
- Câble défectueux</v>
      </c>
      <c r="H152" t="str">
        <f>_xlfn.XLOOKUP("Solution_"&amp;B152,Feuil2!B:B,Feuil2!C:C,"Non trouvé")</f>
        <v>- Vérifier l'état du capteur et son câble et changer ce qui doit l'être
- Si le problème persiste, contacter Ecat-iD</v>
      </c>
    </row>
    <row r="153" spans="1:8" ht="30" x14ac:dyDescent="0.25">
      <c r="A153" t="s">
        <v>754</v>
      </c>
      <c r="B153" t="s">
        <v>848</v>
      </c>
      <c r="C153" t="s">
        <v>849</v>
      </c>
      <c r="D153" t="s">
        <v>850</v>
      </c>
      <c r="E153" t="s">
        <v>851</v>
      </c>
      <c r="F153" s="3" t="str">
        <f>_xlfn.XLOOKUP("Explication_"&amp;B153,Feuil2!B:B,Feuil2!C:C,"Non trouvé")</f>
        <v>Il y a un problème (matériel ou logiciel) sur la carte graphique du PC, qui ne peut donc pas analyser les images</v>
      </c>
      <c r="G153" t="str">
        <f>_xlfn.XLOOKUP("Cause_"&amp;B153,Feuil2!B:B,Feuil2!C:C,"Non trouvé")</f>
        <v>- Problème matériel
- Problème logiciel</v>
      </c>
      <c r="H153" t="str">
        <f>_xlfn.XLOOKUP("Solution_"&amp;B153,Feuil2!B:B,Feuil2!C:C,"Non trouvé")</f>
        <v>- Redémarrer la machine
- Si le problème persiste, contacter Ecat-iD</v>
      </c>
    </row>
    <row r="154" spans="1:8" x14ac:dyDescent="0.25">
      <c r="A154" t="s">
        <v>759</v>
      </c>
      <c r="B154" t="s">
        <v>852</v>
      </c>
      <c r="C154" t="s">
        <v>853</v>
      </c>
      <c r="D154" t="s">
        <v>854</v>
      </c>
      <c r="E154" t="s">
        <v>855</v>
      </c>
      <c r="F154" s="3" t="str">
        <f>_xlfn.XLOOKUP("Explication_"&amp;B154,Feuil2!B:B,Feuil2!C:C,"Non trouvé")</f>
        <v>L'application n'arrive pas à démarrer correctement</v>
      </c>
      <c r="G154" t="str">
        <f>_xlfn.XLOOKUP("Cause_"&amp;B154,Feuil2!B:B,Feuil2!C:C,"Non trouvé")</f>
        <v>L'application a du mal à initialiser un de ses modules : carte PCI, caméras, carte graphique, etc…</v>
      </c>
      <c r="H154" t="str">
        <f>_xlfn.XLOOKUP("Solution_"&amp;B154,Feuil2!B:B,Feuil2!C:C,"Non trouvé")</f>
        <v>- Redémarrer la machine
- Si le problème persiste, contacter Ecat-iD</v>
      </c>
    </row>
    <row r="155" spans="1:8" ht="45" x14ac:dyDescent="0.25">
      <c r="A155" t="s">
        <v>764</v>
      </c>
      <c r="B155" t="s">
        <v>856</v>
      </c>
      <c r="C155" t="s">
        <v>857</v>
      </c>
      <c r="D155" t="s">
        <v>858</v>
      </c>
      <c r="E155" t="s">
        <v>834</v>
      </c>
      <c r="F155" s="3" t="str">
        <f>_xlfn.XLOOKUP("Explication_"&amp;B155,Feuil2!B:B,Feuil2!C:C,"Non trouvé")</f>
        <v>Le débit d'air mesuré par le capteur de débit a été hors plage de fonctionnement pendant un certain nombre de fois. Ces codes sont pour l'aiguillage vers la voie extérieure.</v>
      </c>
      <c r="G155" t="str">
        <f>_xlfn.XLOOKUP("Cause_"&amp;B155,Feuil2!B:B,Feuil2!C:C,"Non trouvé")</f>
        <v>- Niveau d'air trop faible ou trop élevé
- Electrovanne bouchée ou colmatée
- Tuyau endommagé (plié, bouché, percé, etc…)</v>
      </c>
      <c r="H155" t="str">
        <f>_xlfn.XLOOKUP("Solution_"&amp;B155,Feuil2!B:B,Feuil2!C:C,"Non trouvé")</f>
        <v>- Contrôler le niveau d'air
- Contrôler l'électrovanne
- Contrôler le tuyau d'air
- Changer l'électrovanne et / ou le tuyau si nécessaire</v>
      </c>
    </row>
    <row r="156" spans="1:8" ht="45" x14ac:dyDescent="0.25">
      <c r="A156" t="s">
        <v>768</v>
      </c>
      <c r="B156" t="s">
        <v>859</v>
      </c>
      <c r="C156" t="s">
        <v>860</v>
      </c>
      <c r="D156" t="s">
        <v>861</v>
      </c>
      <c r="E156" t="s">
        <v>838</v>
      </c>
      <c r="F156" s="3" t="str">
        <f>_xlfn.XLOOKUP("Explication_"&amp;B156,Feuil2!B:B,Feuil2!C:C,"Non trouvé")</f>
        <v>Le débit d'air mesuré par le capteur de débit a été hors plage de fonctionnement pendant un certain nombre de fois. Ces codes sont pour l'aiguillage vers la voie extérieure.</v>
      </c>
      <c r="G156" t="str">
        <f>_xlfn.XLOOKUP("Cause_"&amp;B156,Feuil2!B:B,Feuil2!C:C,"Non trouvé")</f>
        <v>- Niveau d'air trop faible ou trop élevé
- Electrovanne bouchée ou colmatée
- Tuyau endommagé (plié, bouché, percé, etc…)</v>
      </c>
      <c r="H156" t="str">
        <f>_xlfn.XLOOKUP("Solution_"&amp;B156,Feuil2!B:B,Feuil2!C:C,"Non trouvé")</f>
        <v>- Contrôler le niveau d'air
- Contrôler l'électrovanne
- Contrôler le tuyau d'air
- Changer l'électrovanne et / ou le tuyau si nécessaire</v>
      </c>
    </row>
    <row r="157" spans="1:8" ht="45" x14ac:dyDescent="0.25">
      <c r="A157" t="s">
        <v>659</v>
      </c>
      <c r="B157" t="s">
        <v>862</v>
      </c>
      <c r="C157" t="s">
        <v>863</v>
      </c>
      <c r="D157" t="s">
        <v>864</v>
      </c>
      <c r="E157" t="s">
        <v>865</v>
      </c>
      <c r="F157" s="3" t="str">
        <f>_xlfn.XLOOKUP("Explication_"&amp;B157,Feuil2!B:B,Feuil2!C:C,"Non trouvé")</f>
        <v>La machine estime qu'il y a au moins un poussin coincé quelque part, ce qui provoque des tas de poussins sur cette voie, sous l'analyse. Cela fausse donc les résultats.</v>
      </c>
      <c r="G157" t="str">
        <f>_xlfn.XLOOKUP("Cause_"&amp;B157,Feuil2!B:B,Feuil2!C:C,"Non trouvé")</f>
        <v>Un poussin est passé sous la bande du convoyeur ou est coincé sous une rive et provoque des tas de poussins.</v>
      </c>
      <c r="H157" t="str">
        <f>_xlfn.XLOOKUP("Solution_"&amp;B157,Feuil2!B:B,Feuil2!C:C,"Non trouvé")</f>
        <v>S'il y a un / des poussin(s) coincé(s), retirer-les.</v>
      </c>
    </row>
    <row r="158" spans="1:8" ht="30" x14ac:dyDescent="0.25">
      <c r="A158" t="s">
        <v>654</v>
      </c>
      <c r="B158" t="s">
        <v>866</v>
      </c>
      <c r="C158" t="s">
        <v>867</v>
      </c>
      <c r="D158" t="s">
        <v>868</v>
      </c>
      <c r="E158" t="s">
        <v>869</v>
      </c>
      <c r="F158" s="3" t="str">
        <f>_xlfn.XLOOKUP("Explication_"&amp;B158,Feuil2!B:B,Feuil2!C:C,"Non trouvé")</f>
        <v>Il n'y a pas de communication entre l'automate (PLC) et l'application informatique de cette voie.</v>
      </c>
      <c r="G158" t="str">
        <f>_xlfn.XLOOKUP("Cause_"&amp;B158,Feuil2!B:B,Feuil2!C:C,"Non trouvé")</f>
        <v>- Le PC est en défaut : freeze, écran bleu, pas d'alimentation, etc…
- Liaison Ethernet PC / PLC défaillante</v>
      </c>
      <c r="H158" t="str">
        <f>_xlfn.XLOOKUP("Solution_"&amp;B158,Feuil2!B:B,Feuil2!C:C,"Non trouvé")</f>
        <v>- Eteindre et rallumer la machine
- Vérifier les connexions Ethernet
- Si le problème persiste, contacter Ecat-iD</v>
      </c>
    </row>
    <row r="159" spans="1:8" x14ac:dyDescent="0.25">
      <c r="A159" t="s">
        <v>664</v>
      </c>
      <c r="B159" t="s">
        <v>870</v>
      </c>
      <c r="C159" t="s">
        <v>871</v>
      </c>
      <c r="D159" t="s">
        <v>872</v>
      </c>
      <c r="E159" t="s">
        <v>873</v>
      </c>
      <c r="F159" s="3" t="str">
        <f>_xlfn.XLOOKUP("Explication_"&amp;B159,Feuil2!B:B,Feuil2!C:C,"Non trouvé")</f>
        <v>Non trouvé</v>
      </c>
      <c r="G159" t="str">
        <f>_xlfn.XLOOKUP("Cause_"&amp;B159,Feuil2!B:B,Feuil2!C:C,"Non trouvé")</f>
        <v>Non trouvé</v>
      </c>
      <c r="H159" t="str">
        <f>_xlfn.XLOOKUP("Solution_"&amp;B159,Feuil2!B:B,Feuil2!C:C,"Non trouvé")</f>
        <v>Non trouvé</v>
      </c>
    </row>
    <row r="160" spans="1:8" x14ac:dyDescent="0.25">
      <c r="A160" t="s">
        <v>669</v>
      </c>
      <c r="B160" t="s">
        <v>874</v>
      </c>
      <c r="C160" t="s">
        <v>875</v>
      </c>
      <c r="D160" t="s">
        <v>876</v>
      </c>
      <c r="E160" t="s">
        <v>877</v>
      </c>
      <c r="F160" s="3" t="str">
        <f>_xlfn.XLOOKUP("Explication_"&amp;B160,Feuil2!B:B,Feuil2!C:C,"Non trouvé")</f>
        <v>Le PC ne reçoit pas les images</v>
      </c>
      <c r="G160" t="str">
        <f>_xlfn.XLOOKUP("Cause_"&amp;B160,Feuil2!B:B,Feuil2!C:C,"Non trouvé")</f>
        <v>- Perte de communication avec la caméra
- Caméra ou câble défectueux</v>
      </c>
      <c r="H160" t="str">
        <f>_xlfn.XLOOKUP("Solution_"&amp;B160,Feuil2!B:B,Feuil2!C:C,"Non trouvé")</f>
        <v>- Débrancher puis rebrancher les câbles USB des caméras, puis appuyer sur le bouton "INITIALISATION" sur l'IHM
- Si le problème persiste, redémarrer la machine
- Si le problème persiste encore, contacter Ecat-iD</v>
      </c>
    </row>
    <row r="161" spans="1:8" ht="30" x14ac:dyDescent="0.25">
      <c r="A161" t="s">
        <v>674</v>
      </c>
      <c r="B161" t="s">
        <v>878</v>
      </c>
      <c r="C161" t="s">
        <v>879</v>
      </c>
      <c r="D161" t="s">
        <v>880</v>
      </c>
      <c r="E161" t="s">
        <v>881</v>
      </c>
      <c r="F161" s="3" t="str">
        <f>_xlfn.XLOOKUP("Explication_"&amp;B161,Feuil2!B:B,Feuil2!C:C,"Non trouvé")</f>
        <v>La température d'au moins une des deux caméras de la voie est trop élevée. Les performances de la machine peuvent être diminuées.</v>
      </c>
      <c r="G161" t="str">
        <f>_xlfn.XLOOKUP("Cause_"&amp;B161,Feuil2!B:B,Feuil2!C:C,"Non trouvé")</f>
        <v>- Environnement trop chaud
- Mauvaise dissipation de la chaleur dans le caisson caméras</v>
      </c>
      <c r="H161" t="str">
        <f>_xlfn.XLOOKUP("Solution_"&amp;B161,Feuil2!B:B,Feuil2!C:C,"Non trouvé")</f>
        <v>- Contrôler le caisson caméras
- Essayer d'arrêter la machine pendant quelques minutes
- Si le problème persiste, contacter Ecat-iD</v>
      </c>
    </row>
    <row r="162" spans="1:8" x14ac:dyDescent="0.25">
      <c r="A162" t="s">
        <v>679</v>
      </c>
      <c r="B162" t="s">
        <v>882</v>
      </c>
      <c r="C162" t="s">
        <v>883</v>
      </c>
      <c r="D162" t="s">
        <v>884</v>
      </c>
      <c r="E162" t="s">
        <v>885</v>
      </c>
      <c r="F162" s="3" t="str">
        <f>_xlfn.XLOOKUP("Explication_"&amp;B162,Feuil2!B:B,Feuil2!C:C,"Non trouvé")</f>
        <v>Non trouvé</v>
      </c>
      <c r="G162" t="str">
        <f>_xlfn.XLOOKUP("Cause_"&amp;B162,Feuil2!B:B,Feuil2!C:C,"Non trouvé")</f>
        <v>Non trouvé</v>
      </c>
      <c r="H162" t="str">
        <f>_xlfn.XLOOKUP("Solution_"&amp;B162,Feuil2!B:B,Feuil2!C:C,"Non trouvé")</f>
        <v>Non trouvé</v>
      </c>
    </row>
    <row r="163" spans="1:8" x14ac:dyDescent="0.25">
      <c r="A163" t="s">
        <v>684</v>
      </c>
      <c r="B163" t="s">
        <v>886</v>
      </c>
      <c r="C163" t="s">
        <v>887</v>
      </c>
      <c r="D163" t="s">
        <v>888</v>
      </c>
      <c r="E163" t="s">
        <v>889</v>
      </c>
      <c r="F163" s="3" t="str">
        <f>_xlfn.XLOOKUP("Explication_"&amp;B163,Feuil2!B:B,Feuil2!C:C,"Non trouvé")</f>
        <v>Pas assez ou trop d'éclairage sur la voie</v>
      </c>
      <c r="G163" t="str">
        <f>_xlfn.XLOOKUP("Cause_"&amp;B163,Feuil2!B:B,Feuil2!C:C,"Non trouvé")</f>
        <v>- Mauvaise valeur sur le temps d'exposition des caméras.
- Problème de calibration sur les caméras.
- Salissure sur les caméras.
- Problème d'éclairage sur les barres de LED.
- Forte réflexion de lumière sur les rives.</v>
      </c>
      <c r="H163" t="str">
        <f>_xlfn.XLOOKUP("Solution_"&amp;B163,Feuil2!B:B,Feuil2!C:C,"Non trouvé")</f>
        <v>- Vérifier que les éclairages ne soient pas sales
- Vérifier que les éclairages s'allument autant (ni plus, ni moins) que les autres voies qui fonctionnent
- Vérifier qu'il n'y ai pas trop de réflexion de la lumière sur les rives des convoyeurs
- Contrôler le temps d'exposition des caméras (Ecat-iD)
- Refaire une calibration des caméras (Ecat-iD)</v>
      </c>
    </row>
    <row r="164" spans="1:8" ht="30" x14ac:dyDescent="0.25">
      <c r="A164" t="s">
        <v>689</v>
      </c>
      <c r="B164" t="s">
        <v>890</v>
      </c>
      <c r="C164" t="s">
        <v>891</v>
      </c>
      <c r="D164" t="s">
        <v>892</v>
      </c>
      <c r="E164" t="s">
        <v>893</v>
      </c>
      <c r="F164" s="3" t="str">
        <f>_xlfn.XLOOKUP("Explication_"&amp;B164,Feuil2!B:B,Feuil2!C:C,"Non trouvé")</f>
        <v>Sur plusieurs centaines de poussins d'affilés, il y a eu trop de poussins difficilement sexables</v>
      </c>
      <c r="G164" t="str">
        <f>_xlfn.XLOOKUP("Cause_"&amp;B164,Feuil2!B:B,Feuil2!C:C,"Non trouvé")</f>
        <v>- Poussins issus de parquet trop jeunes (&lt;30 semaines, c'est un problème connu)
- Problème optique ou des salissures sur les caméras.
- Les poussins n'ouvrent pas assez les ailes à cause d'un dysfonctionnement sur les systèmes d'oscillation
- Les poussins sont trop collés (cadence trop élevée ou mauvais répartition entre les voies)</v>
      </c>
      <c r="H164" t="str">
        <f>_xlfn.XLOOKUP("Solution_"&amp;B164,Feuil2!B:B,Feuil2!C:C,"Non trouvé")</f>
        <v>- Vérifier l'âge du parquet (normal si &lt; à 30 semaines)
- Contrôler les éclairages
- Contrôler les systèmes d'oscillation
- Faire attention à la répartition, la quantité, et le nombre de poussins sur la table de tri pour éviter d'avoir trop de poussins collés</v>
      </c>
    </row>
    <row r="165" spans="1:8" ht="30" x14ac:dyDescent="0.25">
      <c r="A165" t="s">
        <v>694</v>
      </c>
      <c r="B165" t="s">
        <v>894</v>
      </c>
      <c r="C165" t="s">
        <v>895</v>
      </c>
      <c r="D165" t="s">
        <v>896</v>
      </c>
      <c r="E165" t="s">
        <v>897</v>
      </c>
      <c r="F165" s="3" t="str">
        <f>_xlfn.XLOOKUP("Explication_"&amp;B165,Feuil2!B:B,Feuil2!C:C,"Non trouvé")</f>
        <v>Sur plusieurs centaines de poussins d'affilés, il y a eu trop de poussins collés</v>
      </c>
      <c r="G165" t="str">
        <f>_xlfn.XLOOKUP("Cause_"&amp;B165,Feuil2!B:B,Feuil2!C:C,"Non trouvé")</f>
        <v>- Poussins coincés
- Cadence trop élevée
- Mauvaise séparation sur la table de tri
- Problème sur les convoyeurs de séparation.</v>
      </c>
      <c r="H165" t="str">
        <f>_xlfn.XLOOKUP("Solution_"&amp;B165,Feuil2!B:B,Feuil2!C:C,"Non trouvé")</f>
        <v>- Réduire la cadence
- Vérifier la bonne répartition sur la ligne de tri
- Vérifier le bon fonctionnement du convoyeur séparateur</v>
      </c>
    </row>
    <row r="166" spans="1:8" x14ac:dyDescent="0.25">
      <c r="A166" t="s">
        <v>699</v>
      </c>
      <c r="B166" t="s">
        <v>898</v>
      </c>
      <c r="C166" t="s">
        <v>899</v>
      </c>
      <c r="D166" t="s">
        <v>900</v>
      </c>
      <c r="E166" t="s">
        <v>901</v>
      </c>
      <c r="F166" s="3" t="str">
        <f>_xlfn.XLOOKUP("Explication_"&amp;B166,Feuil2!B:B,Feuil2!C:C,"Non trouvé")</f>
        <v>Le disque dur SSD du PC est occupé à plus de 90% de sa capacité</v>
      </c>
      <c r="G166" t="str">
        <f>_xlfn.XLOOKUP("Cause_"&amp;B166,Feuil2!B:B,Feuil2!C:C,"Non trouvé")</f>
        <v>- Tests en cours avec la sauvegarde des images activée.
- Quelqu'un a oublié de désactiver la sauvegarde des images dans le fichier de configuration</v>
      </c>
      <c r="H166" t="str">
        <f>_xlfn.XLOOKUP("Solution_"&amp;B166,Feuil2!B:B,Feuil2!C:C,"Non trouvé")</f>
        <v>- Vérifier le fichier de config (Ecat-iD)
- Contacter Ecat-iD</v>
      </c>
    </row>
    <row r="167" spans="1:8" x14ac:dyDescent="0.25">
      <c r="A167" t="s">
        <v>704</v>
      </c>
      <c r="B167" t="s">
        <v>902</v>
      </c>
      <c r="C167" t="s">
        <v>903</v>
      </c>
      <c r="D167" t="s">
        <v>904</v>
      </c>
      <c r="E167" t="s">
        <v>905</v>
      </c>
      <c r="F167" s="3" t="str">
        <f>_xlfn.XLOOKUP("Explication_"&amp;B167,Feuil2!B:B,Feuil2!C:C,"Non trouvé")</f>
        <v>Non trouvé</v>
      </c>
      <c r="G167" t="str">
        <f>_xlfn.XLOOKUP("Cause_"&amp;B167,Feuil2!B:B,Feuil2!C:C,"Non trouvé")</f>
        <v>Non trouvé</v>
      </c>
      <c r="H167" t="str">
        <f>_xlfn.XLOOKUP("Solution_"&amp;B167,Feuil2!B:B,Feuil2!C:C,"Non trouvé")</f>
        <v>Non trouvé</v>
      </c>
    </row>
    <row r="168" spans="1:8" x14ac:dyDescent="0.25">
      <c r="A168" t="s">
        <v>709</v>
      </c>
      <c r="B168" t="s">
        <v>906</v>
      </c>
      <c r="C168" t="s">
        <v>907</v>
      </c>
      <c r="D168" t="s">
        <v>908</v>
      </c>
      <c r="E168" t="s">
        <v>909</v>
      </c>
      <c r="F168" s="3" t="str">
        <f>_xlfn.XLOOKUP("Explication_"&amp;B168,Feuil2!B:B,Feuil2!C:C,"Non trouvé")</f>
        <v>Non trouvé</v>
      </c>
      <c r="G168" t="str">
        <f>_xlfn.XLOOKUP("Cause_"&amp;B168,Feuil2!B:B,Feuil2!C:C,"Non trouvé")</f>
        <v>Non trouvé</v>
      </c>
      <c r="H168" t="str">
        <f>_xlfn.XLOOKUP("Solution_"&amp;B168,Feuil2!B:B,Feuil2!C:C,"Non trouvé")</f>
        <v>Non trouvé</v>
      </c>
    </row>
    <row r="169" spans="1:8" x14ac:dyDescent="0.25">
      <c r="A169" t="s">
        <v>910</v>
      </c>
      <c r="B169" t="s">
        <v>911</v>
      </c>
      <c r="C169" t="s">
        <v>912</v>
      </c>
      <c r="D169" t="s">
        <v>913</v>
      </c>
      <c r="E169" t="s">
        <v>914</v>
      </c>
      <c r="F169" s="3" t="str">
        <f>_xlfn.XLOOKUP("Explication_"&amp;B169,Feuil2!B:B,Feuil2!C:C,"Non trouvé")</f>
        <v>Non trouvé</v>
      </c>
      <c r="G169" t="str">
        <f>_xlfn.XLOOKUP("Cause_"&amp;B169,Feuil2!B:B,Feuil2!C:C,"Non trouvé")</f>
        <v>Non trouvé</v>
      </c>
      <c r="H169" t="str">
        <f>_xlfn.XLOOKUP("Solution_"&amp;B169,Feuil2!B:B,Feuil2!C:C,"Non trouvé")</f>
        <v>Non trouvé</v>
      </c>
    </row>
    <row r="170" spans="1:8" x14ac:dyDescent="0.25">
      <c r="A170" t="s">
        <v>719</v>
      </c>
      <c r="B170" t="s">
        <v>915</v>
      </c>
      <c r="C170" t="s">
        <v>916</v>
      </c>
      <c r="D170" t="s">
        <v>917</v>
      </c>
      <c r="E170" t="s">
        <v>918</v>
      </c>
      <c r="F170" s="3" t="str">
        <f>_xlfn.XLOOKUP("Explication_"&amp;B170,Feuil2!B:B,Feuil2!C:C,"Non trouvé")</f>
        <v>La mémoire RAM du est surchargé à plus de 90% de sa capacité</v>
      </c>
      <c r="G170" t="str">
        <f>_xlfn.XLOOKUP("Cause_"&amp;B170,Feuil2!B:B,Feuil2!C:C,"Non trouvé")</f>
        <v>- Tests en cours avec la sauvegarde des images activée.
- Quelqu'un a cliqué dans la console de l'application (= freeze de l'application)
- Quelqu'un a oublié de désactiver la sauvegarde des images dans le fichier de configuration</v>
      </c>
      <c r="H170" t="str">
        <f>_xlfn.XLOOKUP("Solution_"&amp;B170,Feuil2!B:B,Feuil2!C:C,"Non trouvé")</f>
        <v>- Vérifier le fichier de config (Ecat-iD)
- Contacter Ecat-iD</v>
      </c>
    </row>
    <row r="171" spans="1:8" x14ac:dyDescent="0.25">
      <c r="A171" t="s">
        <v>724</v>
      </c>
      <c r="B171" t="s">
        <v>919</v>
      </c>
      <c r="C171" t="s">
        <v>920</v>
      </c>
      <c r="D171" t="s">
        <v>921</v>
      </c>
      <c r="E171" t="s">
        <v>909</v>
      </c>
      <c r="F171" s="3" t="str">
        <f>_xlfn.XLOOKUP("Explication_"&amp;B171,Feuil2!B:B,Feuil2!C:C,"Non trouvé")</f>
        <v>Non trouvé</v>
      </c>
      <c r="G171" t="str">
        <f>_xlfn.XLOOKUP("Cause_"&amp;B171,Feuil2!B:B,Feuil2!C:C,"Non trouvé")</f>
        <v>Non trouvé</v>
      </c>
      <c r="H171" t="str">
        <f>_xlfn.XLOOKUP("Solution_"&amp;B171,Feuil2!B:B,Feuil2!C:C,"Non trouvé")</f>
        <v>Non trouvé</v>
      </c>
    </row>
    <row r="172" spans="1:8" x14ac:dyDescent="0.25">
      <c r="A172" t="s">
        <v>729</v>
      </c>
      <c r="B172" t="s">
        <v>922</v>
      </c>
      <c r="C172" t="s">
        <v>923</v>
      </c>
      <c r="D172" t="s">
        <v>924</v>
      </c>
      <c r="E172" t="s">
        <v>925</v>
      </c>
      <c r="F172" s="3" t="str">
        <f>_xlfn.XLOOKUP("Explication_"&amp;B172,Feuil2!B:B,Feuil2!C:C,"Non trouvé")</f>
        <v>La CPU du PC est surchargé à plus de 95% de sa capacité</v>
      </c>
      <c r="G172" t="str">
        <f>_xlfn.XLOOKUP("Cause_"&amp;B172,Feuil2!B:B,Feuil2!C:C,"Non trouvé")</f>
        <v>Quelque chose occupe les ressources du PC (OS, driver, programme, etc…)</v>
      </c>
      <c r="H172" t="str">
        <f>_xlfn.XLOOKUP("Solution_"&amp;B172,Feuil2!B:B,Feuil2!C:C,"Non trouvé")</f>
        <v>- Redémarrer le PC
- Si le problème persiste, contacter Ecat-iD</v>
      </c>
    </row>
    <row r="173" spans="1:8" ht="45" x14ac:dyDescent="0.25">
      <c r="A173" t="s">
        <v>734</v>
      </c>
      <c r="B173" t="s">
        <v>926</v>
      </c>
      <c r="C173" t="s">
        <v>927</v>
      </c>
      <c r="D173" t="s">
        <v>928</v>
      </c>
      <c r="E173" t="s">
        <v>929</v>
      </c>
      <c r="F173" s="3" t="str">
        <f>_xlfn.XLOOKUP("Explication_"&amp;B173,Feuil2!B:B,Feuil2!C:C,"Non trouvé")</f>
        <v>Le débit d'air mesuré par le capteur de débit a été hors plage de fonctionnement pendant un certain nombre de fois. Ces codes sont pour l'aiguillage vers la voie intérieure.</v>
      </c>
      <c r="G173" t="str">
        <f>_xlfn.XLOOKUP("Cause_"&amp;B173,Feuil2!B:B,Feuil2!C:C,"Non trouvé")</f>
        <v>- Niveau d'air trop faible ou trop élevé
- Electrovanne bouchée ou colmatée
- Tuyau endommagé (plié, bouché, percé, etc…)</v>
      </c>
      <c r="H173" t="str">
        <f>_xlfn.XLOOKUP("Solution_"&amp;B173,Feuil2!B:B,Feuil2!C:C,"Non trouvé")</f>
        <v>- Contrôler le niveau d'air
- Contrôler l'électrovanne
- Contrôler le tuyau d'air
- Changer l'électrovanne et / ou le tuyau si nécessaire</v>
      </c>
    </row>
    <row r="174" spans="1:8" ht="45" x14ac:dyDescent="0.25">
      <c r="A174" t="s">
        <v>739</v>
      </c>
      <c r="B174" t="s">
        <v>930</v>
      </c>
      <c r="C174" t="s">
        <v>931</v>
      </c>
      <c r="D174" t="s">
        <v>932</v>
      </c>
      <c r="E174" t="s">
        <v>933</v>
      </c>
      <c r="F174" s="3" t="str">
        <f>_xlfn.XLOOKUP("Explication_"&amp;B174,Feuil2!B:B,Feuil2!C:C,"Non trouvé")</f>
        <v>Le débit d'air mesuré par le capteur de débit a été hors plage de fonctionnement pendant un certain nombre de fois. Ces codes sont pour l'aiguillage vers la voie intérieure.</v>
      </c>
      <c r="G174" t="str">
        <f>_xlfn.XLOOKUP("Cause_"&amp;B174,Feuil2!B:B,Feuil2!C:C,"Non trouvé")</f>
        <v>- Niveau d'air trop faible ou trop élevé
- Electrovanne bouchée ou colmatée
- Tuyau endommagé (plié, bouché, percé, etc…)</v>
      </c>
      <c r="H174" t="str">
        <f>_xlfn.XLOOKUP("Solution_"&amp;B174,Feuil2!B:B,Feuil2!C:C,"Non trouvé")</f>
        <v>- Contrôler le niveau d'air
- Contrôler l'électrovanne
- Contrôler le tuyau d'air
- Changer l'électrovanne et / ou le tuyau si nécessaire</v>
      </c>
    </row>
    <row r="175" spans="1:8" x14ac:dyDescent="0.25">
      <c r="A175" t="s">
        <v>934</v>
      </c>
      <c r="B175" t="s">
        <v>935</v>
      </c>
      <c r="C175" t="s">
        <v>936</v>
      </c>
      <c r="D175" t="s">
        <v>937</v>
      </c>
      <c r="E175" t="s">
        <v>938</v>
      </c>
      <c r="F175" s="3" t="str">
        <f>_xlfn.XLOOKUP("Explication_"&amp;B175,Feuil2!B:B,Feuil2!C:C,"Non trouvé")</f>
        <v>Non trouvé</v>
      </c>
      <c r="G175" t="str">
        <f>_xlfn.XLOOKUP("Cause_"&amp;B175,Feuil2!B:B,Feuil2!C:C,"Non trouvé")</f>
        <v>Non trouvé</v>
      </c>
      <c r="H175" t="str">
        <f>_xlfn.XLOOKUP("Solution_"&amp;B175,Feuil2!B:B,Feuil2!C:C,"Non trouvé")</f>
        <v>Non trouvé</v>
      </c>
    </row>
    <row r="176" spans="1:8" x14ac:dyDescent="0.25">
      <c r="A176" t="s">
        <v>749</v>
      </c>
      <c r="B176" t="s">
        <v>939</v>
      </c>
      <c r="C176" t="s">
        <v>940</v>
      </c>
      <c r="D176" t="s">
        <v>941</v>
      </c>
      <c r="E176" t="s">
        <v>942</v>
      </c>
      <c r="F176" s="3" t="str">
        <f>_xlfn.XLOOKUP("Explication_"&amp;B176,Feuil2!B:B,Feuil2!C:C,"Non trouvé")</f>
        <v>L'automate ne communique pas avec le capteur</v>
      </c>
      <c r="G176" t="str">
        <f>_xlfn.XLOOKUP("Cause_"&amp;B176,Feuil2!B:B,Feuil2!C:C,"Non trouvé")</f>
        <v>- Capteur défectueux
- Câble défectueux</v>
      </c>
      <c r="H176" t="str">
        <f>_xlfn.XLOOKUP("Solution_"&amp;B176,Feuil2!B:B,Feuil2!C:C,"Non trouvé")</f>
        <v>- Vérifier l'état du capteur et son câble et changer ce qui doit l'être
- Si le problème persiste, contacter Ecat-iD</v>
      </c>
    </row>
    <row r="177" spans="1:8" ht="30" x14ac:dyDescent="0.25">
      <c r="A177" t="s">
        <v>754</v>
      </c>
      <c r="B177" t="s">
        <v>943</v>
      </c>
      <c r="C177" t="s">
        <v>944</v>
      </c>
      <c r="D177" t="s">
        <v>945</v>
      </c>
      <c r="E177" t="s">
        <v>946</v>
      </c>
      <c r="F177" s="3" t="str">
        <f>_xlfn.XLOOKUP("Explication_"&amp;B177,Feuil2!B:B,Feuil2!C:C,"Non trouvé")</f>
        <v>Il y a un problème (matériel ou logiciel) sur la carte graphique du PC, qui ne peut donc pas analyser les images</v>
      </c>
      <c r="G177" t="str">
        <f>_xlfn.XLOOKUP("Cause_"&amp;B177,Feuil2!B:B,Feuil2!C:C,"Non trouvé")</f>
        <v>- Problème matériel
- Problème logiciel</v>
      </c>
      <c r="H177" t="str">
        <f>_xlfn.XLOOKUP("Solution_"&amp;B177,Feuil2!B:B,Feuil2!C:C,"Non trouvé")</f>
        <v>- Redémarrer la machine
- Si le problème persiste, contacter Ecat-iD</v>
      </c>
    </row>
    <row r="178" spans="1:8" x14ac:dyDescent="0.25">
      <c r="A178" t="s">
        <v>759</v>
      </c>
      <c r="B178" t="s">
        <v>947</v>
      </c>
      <c r="C178" t="s">
        <v>948</v>
      </c>
      <c r="D178" t="s">
        <v>949</v>
      </c>
      <c r="E178" t="s">
        <v>950</v>
      </c>
      <c r="F178" s="3" t="str">
        <f>_xlfn.XLOOKUP("Explication_"&amp;B178,Feuil2!B:B,Feuil2!C:C,"Non trouvé")</f>
        <v>L'application n'arrive pas à démarrer correctement</v>
      </c>
      <c r="G178" t="str">
        <f>_xlfn.XLOOKUP("Cause_"&amp;B178,Feuil2!B:B,Feuil2!C:C,"Non trouvé")</f>
        <v>L'application a du mal à initialiser un de ses modules : carte PCI, caméras, carte graphique, etc…</v>
      </c>
      <c r="H178" t="str">
        <f>_xlfn.XLOOKUP("Solution_"&amp;B178,Feuil2!B:B,Feuil2!C:C,"Non trouvé")</f>
        <v>- Redémarrer la machine
- Si le problème persiste, contacter Ecat-iD</v>
      </c>
    </row>
    <row r="179" spans="1:8" ht="45" x14ac:dyDescent="0.25">
      <c r="A179" t="s">
        <v>764</v>
      </c>
      <c r="B179" t="s">
        <v>951</v>
      </c>
      <c r="C179" t="s">
        <v>952</v>
      </c>
      <c r="D179" t="s">
        <v>953</v>
      </c>
      <c r="E179" t="s">
        <v>929</v>
      </c>
      <c r="F179" s="3" t="str">
        <f>_xlfn.XLOOKUP("Explication_"&amp;B179,Feuil2!B:B,Feuil2!C:C,"Non trouvé")</f>
        <v>Le débit d'air mesuré par le capteur de débit a été hors plage de fonctionnement pendant un certain nombre de fois. Ces codes sont pour l'aiguillage vers la voie extérieure.</v>
      </c>
      <c r="G179" t="str">
        <f>_xlfn.XLOOKUP("Cause_"&amp;B179,Feuil2!B:B,Feuil2!C:C,"Non trouvé")</f>
        <v>- Niveau d'air trop faible ou trop élevé
- Electrovanne bouchée ou colmatée
- Tuyau endommagé (plié, bouché, percé, etc…)</v>
      </c>
      <c r="H179" t="str">
        <f>_xlfn.XLOOKUP("Solution_"&amp;B179,Feuil2!B:B,Feuil2!C:C,"Non trouvé")</f>
        <v>- Contrôler le niveau d'air
- Contrôler l'électrovanne
- Contrôler le tuyau d'air
- Changer l'électrovanne et / ou le tuyau si nécessaire</v>
      </c>
    </row>
    <row r="180" spans="1:8" ht="45" x14ac:dyDescent="0.25">
      <c r="A180" t="s">
        <v>768</v>
      </c>
      <c r="B180" t="s">
        <v>954</v>
      </c>
      <c r="C180" t="s">
        <v>955</v>
      </c>
      <c r="D180" t="s">
        <v>956</v>
      </c>
      <c r="E180" t="s">
        <v>933</v>
      </c>
      <c r="F180" s="3" t="str">
        <f>_xlfn.XLOOKUP("Explication_"&amp;B180,Feuil2!B:B,Feuil2!C:C,"Non trouvé")</f>
        <v>Le débit d'air mesuré par le capteur de débit a été hors plage de fonctionnement pendant un certain nombre de fois. Ces codes sont pour l'aiguillage vers la voie extérieure.</v>
      </c>
      <c r="G180" t="str">
        <f>_xlfn.XLOOKUP("Cause_"&amp;B180,Feuil2!B:B,Feuil2!C:C,"Non trouvé")</f>
        <v>- Niveau d'air trop faible ou trop élevé
- Electrovanne bouchée ou colmatée
- Tuyau endommagé (plié, bouché, percé, etc…)</v>
      </c>
      <c r="H180" t="str">
        <f>_xlfn.XLOOKUP("Solution_"&amp;B180,Feuil2!B:B,Feuil2!C:C,"Non trouvé")</f>
        <v>- Contrôler le niveau d'air
- Contrôler l'électrovanne
- Contrôler le tuyau d'air
- Changer l'électrovanne et / ou le tuyau si nécessaire</v>
      </c>
    </row>
    <row r="181" spans="1:8" ht="45" x14ac:dyDescent="0.25">
      <c r="A181" t="s">
        <v>659</v>
      </c>
      <c r="B181" t="s">
        <v>957</v>
      </c>
      <c r="C181" t="s">
        <v>958</v>
      </c>
      <c r="D181" t="s">
        <v>959</v>
      </c>
      <c r="E181" t="s">
        <v>960</v>
      </c>
      <c r="F181" s="3" t="str">
        <f>_xlfn.XLOOKUP("Explication_"&amp;B181,Feuil2!B:B,Feuil2!C:C,"Non trouvé")</f>
        <v>La machine estime qu'il y a au moins un poussin coincé quelque part, ce qui provoque des tas de poussins sur cette voie, sous l'analyse. Cela fausse donc les résultats.</v>
      </c>
      <c r="G181" t="str">
        <f>_xlfn.XLOOKUP("Cause_"&amp;B181,Feuil2!B:B,Feuil2!C:C,"Non trouvé")</f>
        <v>Un poussin est passé sous la bande du convoyeur ou est coincé sous une rive et provoque des tas de poussins.</v>
      </c>
      <c r="H181" t="str">
        <f>_xlfn.XLOOKUP("Solution_"&amp;B181,Feuil2!B:B,Feuil2!C:C,"Non trouvé")</f>
        <v>S'il y a un / des poussin(s) coincé(s), retirer-les.</v>
      </c>
    </row>
    <row r="182" spans="1:8" ht="30" x14ac:dyDescent="0.25">
      <c r="A182" t="s">
        <v>654</v>
      </c>
      <c r="B182" t="s">
        <v>961</v>
      </c>
      <c r="C182" t="s">
        <v>962</v>
      </c>
      <c r="D182" t="s">
        <v>963</v>
      </c>
      <c r="E182" t="s">
        <v>964</v>
      </c>
      <c r="F182" s="3" t="str">
        <f>_xlfn.XLOOKUP("Explication_"&amp;B182,Feuil2!B:B,Feuil2!C:C,"Non trouvé")</f>
        <v>Il n'y a pas de communication entre l'automate (PLC) et l'application informatique de cette voie.</v>
      </c>
      <c r="G182" t="str">
        <f>_xlfn.XLOOKUP("Cause_"&amp;B182,Feuil2!B:B,Feuil2!C:C,"Non trouvé")</f>
        <v>- Le PC est en défaut : freeze, écran bleu, pas d'alimentation, etc…
- Liaison Ethernet PC / PLC défaillante</v>
      </c>
      <c r="H182" t="str">
        <f>_xlfn.XLOOKUP("Solution_"&amp;B182,Feuil2!B:B,Feuil2!C:C,"Non trouvé")</f>
        <v>- Eteindre et rallumer la machine
- Vérifier les connexions Ethernet
- Si le problème persiste, contacter Ecat-iD</v>
      </c>
    </row>
    <row r="183" spans="1:8" x14ac:dyDescent="0.25">
      <c r="A183" t="s">
        <v>664</v>
      </c>
      <c r="B183" t="s">
        <v>965</v>
      </c>
      <c r="C183" t="s">
        <v>966</v>
      </c>
      <c r="D183" t="s">
        <v>967</v>
      </c>
      <c r="E183" t="s">
        <v>968</v>
      </c>
      <c r="F183" s="3" t="str">
        <f>_xlfn.XLOOKUP("Explication_"&amp;B183,Feuil2!B:B,Feuil2!C:C,"Non trouvé")</f>
        <v>Non trouvé</v>
      </c>
      <c r="G183" t="str">
        <f>_xlfn.XLOOKUP("Cause_"&amp;B183,Feuil2!B:B,Feuil2!C:C,"Non trouvé")</f>
        <v>Non trouvé</v>
      </c>
      <c r="H183" t="str">
        <f>_xlfn.XLOOKUP("Solution_"&amp;B183,Feuil2!B:B,Feuil2!C:C,"Non trouvé")</f>
        <v>Non trouvé</v>
      </c>
    </row>
    <row r="184" spans="1:8" x14ac:dyDescent="0.25">
      <c r="A184" t="s">
        <v>669</v>
      </c>
      <c r="B184" t="s">
        <v>969</v>
      </c>
      <c r="C184" t="s">
        <v>970</v>
      </c>
      <c r="D184" t="s">
        <v>971</v>
      </c>
      <c r="E184" t="s">
        <v>972</v>
      </c>
      <c r="F184" s="3" t="str">
        <f>_xlfn.XLOOKUP("Explication_"&amp;B184,Feuil2!B:B,Feuil2!C:C,"Non trouvé")</f>
        <v>Le PC ne reçoit pas les images</v>
      </c>
      <c r="G184" t="str">
        <f>_xlfn.XLOOKUP("Cause_"&amp;B184,Feuil2!B:B,Feuil2!C:C,"Non trouvé")</f>
        <v>- Perte de communication avec la caméra
- Caméra ou câble défectueux</v>
      </c>
      <c r="H184" t="str">
        <f>_xlfn.XLOOKUP("Solution_"&amp;B184,Feuil2!B:B,Feuil2!C:C,"Non trouvé")</f>
        <v>- Débrancher puis rebrancher les câbles USB des caméras, puis appuyer sur le bouton "INITIALISATION" sur l'IHM
- Si le problème persiste, redémarrer la machine
- Si le problème persiste encore, contacter Ecat-iD</v>
      </c>
    </row>
    <row r="185" spans="1:8" ht="30" x14ac:dyDescent="0.25">
      <c r="A185" t="s">
        <v>674</v>
      </c>
      <c r="B185" t="s">
        <v>973</v>
      </c>
      <c r="C185" t="s">
        <v>974</v>
      </c>
      <c r="D185" t="s">
        <v>975</v>
      </c>
      <c r="E185" t="s">
        <v>976</v>
      </c>
      <c r="F185" s="3" t="str">
        <f>_xlfn.XLOOKUP("Explication_"&amp;B185,Feuil2!B:B,Feuil2!C:C,"Non trouvé")</f>
        <v>La température d'au moins une des deux caméras de la voie est trop élevée. Les performances de la machine peuvent être diminuées.</v>
      </c>
      <c r="G185" t="str">
        <f>_xlfn.XLOOKUP("Cause_"&amp;B185,Feuil2!B:B,Feuil2!C:C,"Non trouvé")</f>
        <v>- Environnement trop chaud
- Mauvaise dissipation de la chaleur dans le caisson caméras</v>
      </c>
      <c r="H185" t="str">
        <f>_xlfn.XLOOKUP("Solution_"&amp;B185,Feuil2!B:B,Feuil2!C:C,"Non trouvé")</f>
        <v>- Contrôler le caisson caméras
- Essayer d'arrêter la machine pendant quelques minutes
- Si le problème persiste, contacter Ecat-iD</v>
      </c>
    </row>
    <row r="186" spans="1:8" x14ac:dyDescent="0.25">
      <c r="A186" t="s">
        <v>679</v>
      </c>
      <c r="B186" t="s">
        <v>977</v>
      </c>
      <c r="C186" t="s">
        <v>978</v>
      </c>
      <c r="D186" t="s">
        <v>979</v>
      </c>
      <c r="E186" t="s">
        <v>980</v>
      </c>
      <c r="F186" s="3" t="str">
        <f>_xlfn.XLOOKUP("Explication_"&amp;B186,Feuil2!B:B,Feuil2!C:C,"Non trouvé")</f>
        <v>Non trouvé</v>
      </c>
      <c r="G186" t="str">
        <f>_xlfn.XLOOKUP("Cause_"&amp;B186,Feuil2!B:B,Feuil2!C:C,"Non trouvé")</f>
        <v>Non trouvé</v>
      </c>
      <c r="H186" t="str">
        <f>_xlfn.XLOOKUP("Solution_"&amp;B186,Feuil2!B:B,Feuil2!C:C,"Non trouvé")</f>
        <v>Non trouvé</v>
      </c>
    </row>
    <row r="187" spans="1:8" x14ac:dyDescent="0.25">
      <c r="A187" t="s">
        <v>684</v>
      </c>
      <c r="B187" t="s">
        <v>981</v>
      </c>
      <c r="C187" t="s">
        <v>982</v>
      </c>
      <c r="D187" t="s">
        <v>983</v>
      </c>
      <c r="E187" t="s">
        <v>984</v>
      </c>
      <c r="F187" s="3" t="str">
        <f>_xlfn.XLOOKUP("Explication_"&amp;B187,Feuil2!B:B,Feuil2!C:C,"Non trouvé")</f>
        <v>Pas assez ou trop d'éclairage sur la voie</v>
      </c>
      <c r="G187" t="str">
        <f>_xlfn.XLOOKUP("Cause_"&amp;B187,Feuil2!B:B,Feuil2!C:C,"Non trouvé")</f>
        <v>- Mauvaise valeur sur le temps d'exposition des caméras.
- Problème de calibration sur les caméras.
- Salissure sur les caméras.
- Problème d'éclairage sur les barres de LED.
- Forte réflexion de lumière sur les rives.</v>
      </c>
      <c r="H187" t="str">
        <f>_xlfn.XLOOKUP("Solution_"&amp;B187,Feuil2!B:B,Feuil2!C:C,"Non trouvé")</f>
        <v>- Vérifier que les éclairages ne soient pas sales
- Vérifier que les éclairages s'allument autant (ni plus, ni moins) que les autres voies qui fonctionnent
- Vérifier qu'il n'y ai pas trop de réflexion de la lumière sur les rives des convoyeurs
- Contrôler le temps d'exposition des caméras (Ecat-iD)
- Refaire une calibration des caméras (Ecat-iD)</v>
      </c>
    </row>
    <row r="188" spans="1:8" ht="30" x14ac:dyDescent="0.25">
      <c r="A188" t="s">
        <v>689</v>
      </c>
      <c r="B188" t="s">
        <v>985</v>
      </c>
      <c r="C188" t="s">
        <v>986</v>
      </c>
      <c r="D188" t="s">
        <v>987</v>
      </c>
      <c r="E188" t="s">
        <v>988</v>
      </c>
      <c r="F188" s="3" t="str">
        <f>_xlfn.XLOOKUP("Explication_"&amp;B188,Feuil2!B:B,Feuil2!C:C,"Non trouvé")</f>
        <v>Sur plusieurs centaines de poussins d'affilés, il y a eu trop de poussins difficilement sexables</v>
      </c>
      <c r="G188" t="str">
        <f>_xlfn.XLOOKUP("Cause_"&amp;B188,Feuil2!B:B,Feuil2!C:C,"Non trouvé")</f>
        <v>- Poussins issus de parquet trop jeunes (&lt;30 semaines, c'est un problème connu)
- Problème optique ou des salissures sur les caméras.
- Les poussins n'ouvrent pas assez les ailes à cause d'un dysfonctionnement sur les systèmes d'oscillation
- Les poussins sont trop collés (cadence trop élevée ou mauvais répartition entre les voies)</v>
      </c>
      <c r="H188" t="str">
        <f>_xlfn.XLOOKUP("Solution_"&amp;B188,Feuil2!B:B,Feuil2!C:C,"Non trouvé")</f>
        <v>- Vérifier l'âge du parquet (normal si &lt; à 30 semaines)
- Contrôler les éclairages
- Contrôler les systèmes d'oscillation
- Faire attention à la répartition, la quantité, et le nombre de poussins sur la table de tri pour éviter d'avoir trop de poussins collés</v>
      </c>
    </row>
    <row r="189" spans="1:8" ht="30" x14ac:dyDescent="0.25">
      <c r="A189" t="s">
        <v>694</v>
      </c>
      <c r="B189" t="s">
        <v>989</v>
      </c>
      <c r="C189" t="s">
        <v>990</v>
      </c>
      <c r="D189" t="s">
        <v>991</v>
      </c>
      <c r="E189" t="s">
        <v>992</v>
      </c>
      <c r="F189" s="3" t="str">
        <f>_xlfn.XLOOKUP("Explication_"&amp;B189,Feuil2!B:B,Feuil2!C:C,"Non trouvé")</f>
        <v>Sur plusieurs centaines de poussins d'affilés, il y a eu trop de poussins collés</v>
      </c>
      <c r="G189" t="str">
        <f>_xlfn.XLOOKUP("Cause_"&amp;B189,Feuil2!B:B,Feuil2!C:C,"Non trouvé")</f>
        <v>- Poussins coincés
- Cadence trop élevée
- Mauvaise séparation sur la table de tri
- Problème sur les convoyeurs de séparation.</v>
      </c>
      <c r="H189" t="str">
        <f>_xlfn.XLOOKUP("Solution_"&amp;B189,Feuil2!B:B,Feuil2!C:C,"Non trouvé")</f>
        <v>- Réduire la cadence
- Vérifier la bonne répartition sur la ligne de tri
- Vérifier le bon fonctionnement du convoyeur séparateur</v>
      </c>
    </row>
    <row r="190" spans="1:8" x14ac:dyDescent="0.25">
      <c r="A190" t="s">
        <v>699</v>
      </c>
      <c r="B190" t="s">
        <v>993</v>
      </c>
      <c r="C190" t="s">
        <v>994</v>
      </c>
      <c r="D190" t="s">
        <v>995</v>
      </c>
      <c r="E190" t="s">
        <v>996</v>
      </c>
      <c r="F190" s="3" t="str">
        <f>_xlfn.XLOOKUP("Explication_"&amp;B190,Feuil2!B:B,Feuil2!C:C,"Non trouvé")</f>
        <v>Le disque dur SSD du PC est occupé à plus de 90% de sa capacité</v>
      </c>
      <c r="G190" t="str">
        <f>_xlfn.XLOOKUP("Cause_"&amp;B190,Feuil2!B:B,Feuil2!C:C,"Non trouvé")</f>
        <v>- Tests en cours avec la sauvegarde des images activée.
- Quelqu'un a oublié de désactiver la sauvegarde des images dans le fichier de configuration</v>
      </c>
      <c r="H190" t="str">
        <f>_xlfn.XLOOKUP("Solution_"&amp;B190,Feuil2!B:B,Feuil2!C:C,"Non trouvé")</f>
        <v>- Vérifier le fichier de config (Ecat-iD)
- Contacter Ecat-iD</v>
      </c>
    </row>
    <row r="191" spans="1:8" x14ac:dyDescent="0.25">
      <c r="A191" t="s">
        <v>704</v>
      </c>
      <c r="B191" t="s">
        <v>997</v>
      </c>
      <c r="C191" t="s">
        <v>998</v>
      </c>
      <c r="D191" t="s">
        <v>999</v>
      </c>
      <c r="E191" t="s">
        <v>905</v>
      </c>
      <c r="F191" s="3" t="str">
        <f>_xlfn.XLOOKUP("Explication_"&amp;B191,Feuil2!B:B,Feuil2!C:C,"Non trouvé")</f>
        <v>Non trouvé</v>
      </c>
      <c r="G191" t="str">
        <f>_xlfn.XLOOKUP("Cause_"&amp;B191,Feuil2!B:B,Feuil2!C:C,"Non trouvé")</f>
        <v>Non trouvé</v>
      </c>
      <c r="H191" t="str">
        <f>_xlfn.XLOOKUP("Solution_"&amp;B191,Feuil2!B:B,Feuil2!C:C,"Non trouvé")</f>
        <v>Non trouvé</v>
      </c>
    </row>
    <row r="192" spans="1:8" x14ac:dyDescent="0.25">
      <c r="A192" t="s">
        <v>709</v>
      </c>
      <c r="B192" t="s">
        <v>1000</v>
      </c>
      <c r="C192" t="s">
        <v>1001</v>
      </c>
      <c r="D192" t="s">
        <v>1002</v>
      </c>
      <c r="E192" t="s">
        <v>1003</v>
      </c>
      <c r="F192" s="3" t="str">
        <f>_xlfn.XLOOKUP("Explication_"&amp;B192,Feuil2!B:B,Feuil2!C:C,"Non trouvé")</f>
        <v>Non trouvé</v>
      </c>
      <c r="G192" t="str">
        <f>_xlfn.XLOOKUP("Cause_"&amp;B192,Feuil2!B:B,Feuil2!C:C,"Non trouvé")</f>
        <v>Non trouvé</v>
      </c>
      <c r="H192" t="str">
        <f>_xlfn.XLOOKUP("Solution_"&amp;B192,Feuil2!B:B,Feuil2!C:C,"Non trouvé")</f>
        <v>Non trouvé</v>
      </c>
    </row>
    <row r="193" spans="1:8" x14ac:dyDescent="0.25">
      <c r="A193" t="s">
        <v>910</v>
      </c>
      <c r="B193" t="s">
        <v>1004</v>
      </c>
      <c r="C193" t="s">
        <v>1005</v>
      </c>
      <c r="D193" t="s">
        <v>1006</v>
      </c>
      <c r="E193" t="s">
        <v>914</v>
      </c>
      <c r="F193" s="3" t="str">
        <f>_xlfn.XLOOKUP("Explication_"&amp;B193,Feuil2!B:B,Feuil2!C:C,"Non trouvé")</f>
        <v>Non trouvé</v>
      </c>
      <c r="G193" t="str">
        <f>_xlfn.XLOOKUP("Cause_"&amp;B193,Feuil2!B:B,Feuil2!C:C,"Non trouvé")</f>
        <v>Non trouvé</v>
      </c>
      <c r="H193" t="str">
        <f>_xlfn.XLOOKUP("Solution_"&amp;B193,Feuil2!B:B,Feuil2!C:C,"Non trouvé")</f>
        <v>Non trouvé</v>
      </c>
    </row>
    <row r="194" spans="1:8" x14ac:dyDescent="0.25">
      <c r="A194" t="s">
        <v>719</v>
      </c>
      <c r="B194" t="s">
        <v>1007</v>
      </c>
      <c r="C194" t="s">
        <v>1008</v>
      </c>
      <c r="D194" t="s">
        <v>1009</v>
      </c>
      <c r="E194" t="s">
        <v>918</v>
      </c>
      <c r="F194" s="3" t="str">
        <f>_xlfn.XLOOKUP("Explication_"&amp;B194,Feuil2!B:B,Feuil2!C:C,"Non trouvé")</f>
        <v>La mémoire RAM du est surchargé à plus de 90% de sa capacité</v>
      </c>
      <c r="G194" t="str">
        <f>_xlfn.XLOOKUP("Cause_"&amp;B194,Feuil2!B:B,Feuil2!C:C,"Non trouvé")</f>
        <v>- Tests en cours avec la sauvegarde des images activée.
- Quelqu'un a cliqué dans la console de l'application (= freeze de l'application)
- Quelqu'un a oublié de désactiver la sauvegarde des images dans le fichier de configuration</v>
      </c>
      <c r="H194" t="str">
        <f>_xlfn.XLOOKUP("Solution_"&amp;B194,Feuil2!B:B,Feuil2!C:C,"Non trouvé")</f>
        <v>- Vérifier le fichier de config (Ecat-iD)
- Contacter Ecat-iD</v>
      </c>
    </row>
    <row r="195" spans="1:8" x14ac:dyDescent="0.25">
      <c r="A195" t="s">
        <v>724</v>
      </c>
      <c r="B195" t="s">
        <v>1010</v>
      </c>
      <c r="C195" t="s">
        <v>1011</v>
      </c>
      <c r="D195" t="s">
        <v>1012</v>
      </c>
      <c r="E195" t="s">
        <v>909</v>
      </c>
      <c r="F195" s="3" t="str">
        <f>_xlfn.XLOOKUP("Explication_"&amp;B195,Feuil2!B:B,Feuil2!C:C,"Non trouvé")</f>
        <v>Non trouvé</v>
      </c>
      <c r="G195" t="str">
        <f>_xlfn.XLOOKUP("Cause_"&amp;B195,Feuil2!B:B,Feuil2!C:C,"Non trouvé")</f>
        <v>Non trouvé</v>
      </c>
      <c r="H195" t="str">
        <f>_xlfn.XLOOKUP("Solution_"&amp;B195,Feuil2!B:B,Feuil2!C:C,"Non trouvé")</f>
        <v>Non trouvé</v>
      </c>
    </row>
    <row r="196" spans="1:8" x14ac:dyDescent="0.25">
      <c r="A196" t="s">
        <v>729</v>
      </c>
      <c r="B196" t="s">
        <v>1013</v>
      </c>
      <c r="C196" t="s">
        <v>1014</v>
      </c>
      <c r="D196" t="s">
        <v>1015</v>
      </c>
      <c r="E196" t="s">
        <v>925</v>
      </c>
      <c r="F196" s="3" t="str">
        <f>_xlfn.XLOOKUP("Explication_"&amp;B196,Feuil2!B:B,Feuil2!C:C,"Non trouvé")</f>
        <v>La CPU du PC est surchargé à plus de 95% de sa capacité</v>
      </c>
      <c r="G196" t="str">
        <f>_xlfn.XLOOKUP("Cause_"&amp;B196,Feuil2!B:B,Feuil2!C:C,"Non trouvé")</f>
        <v>Quelque chose occupe les ressources du PC (OS, driver, programme, etc…)</v>
      </c>
      <c r="H196" t="str">
        <f>_xlfn.XLOOKUP("Solution_"&amp;B196,Feuil2!B:B,Feuil2!C:C,"Non trouvé")</f>
        <v>- Redémarrer le PC
- Si le problème persiste, contacter Ecat-iD</v>
      </c>
    </row>
    <row r="197" spans="1:8" ht="45" x14ac:dyDescent="0.25">
      <c r="A197" t="s">
        <v>734</v>
      </c>
      <c r="B197" t="s">
        <v>1016</v>
      </c>
      <c r="C197" t="s">
        <v>1017</v>
      </c>
      <c r="D197" t="s">
        <v>1018</v>
      </c>
      <c r="E197" t="s">
        <v>1019</v>
      </c>
      <c r="F197" s="3" t="str">
        <f>_xlfn.XLOOKUP("Explication_"&amp;B197,Feuil2!B:B,Feuil2!C:C,"Non trouvé")</f>
        <v>Le débit d'air mesuré par le capteur de débit a été hors plage de fonctionnement pendant un certain nombre de fois. Ces codes sont pour l'aiguillage vers la voie intérieure.</v>
      </c>
      <c r="G197" t="str">
        <f>_xlfn.XLOOKUP("Cause_"&amp;B197,Feuil2!B:B,Feuil2!C:C,"Non trouvé")</f>
        <v>- Niveau d'air trop faible ou trop élevé
- Electrovanne bouchée ou colmatée
- Tuyau endommagé (plié, bouché, percé, etc…)</v>
      </c>
      <c r="H197" t="str">
        <f>_xlfn.XLOOKUP("Solution_"&amp;B197,Feuil2!B:B,Feuil2!C:C,"Non trouvé")</f>
        <v>- Contrôler le niveau d'air
- Contrôler l'électrovanne
- Contrôler le tuyau d'air
- Changer l'électrovanne et / ou le tuyau si nécessaire</v>
      </c>
    </row>
    <row r="198" spans="1:8" ht="45" x14ac:dyDescent="0.25">
      <c r="A198" t="s">
        <v>739</v>
      </c>
      <c r="B198" t="s">
        <v>1020</v>
      </c>
      <c r="C198" t="s">
        <v>1021</v>
      </c>
      <c r="D198" t="s">
        <v>1022</v>
      </c>
      <c r="E198" t="s">
        <v>1023</v>
      </c>
      <c r="F198" s="3" t="str">
        <f>_xlfn.XLOOKUP("Explication_"&amp;B198,Feuil2!B:B,Feuil2!C:C,"Non trouvé")</f>
        <v>Le débit d'air mesuré par le capteur de débit a été hors plage de fonctionnement pendant un certain nombre de fois. Ces codes sont pour l'aiguillage vers la voie intérieure.</v>
      </c>
      <c r="G198" t="str">
        <f>_xlfn.XLOOKUP("Cause_"&amp;B198,Feuil2!B:B,Feuil2!C:C,"Non trouvé")</f>
        <v>- Niveau d'air trop faible ou trop élevé
- Electrovanne bouchée ou colmatée
- Tuyau endommagé (plié, bouché, percé, etc…)</v>
      </c>
      <c r="H198" t="str">
        <f>_xlfn.XLOOKUP("Solution_"&amp;B198,Feuil2!B:B,Feuil2!C:C,"Non trouvé")</f>
        <v>- Contrôler le niveau d'air
- Contrôler l'électrovanne
- Contrôler le tuyau d'air
- Changer l'électrovanne et / ou le tuyau si nécessaire</v>
      </c>
    </row>
    <row r="199" spans="1:8" x14ac:dyDescent="0.25">
      <c r="A199" t="s">
        <v>1024</v>
      </c>
      <c r="B199" t="s">
        <v>1025</v>
      </c>
      <c r="C199" t="s">
        <v>1026</v>
      </c>
      <c r="D199" t="s">
        <v>1027</v>
      </c>
      <c r="E199" t="s">
        <v>1028</v>
      </c>
      <c r="F199" s="3" t="str">
        <f>_xlfn.XLOOKUP("Explication_"&amp;B199,Feuil2!B:B,Feuil2!C:C,"Non trouvé")</f>
        <v>Non trouvé</v>
      </c>
      <c r="G199" t="str">
        <f>_xlfn.XLOOKUP("Cause_"&amp;B199,Feuil2!B:B,Feuil2!C:C,"Non trouvé")</f>
        <v>Non trouvé</v>
      </c>
      <c r="H199" t="str">
        <f>_xlfn.XLOOKUP("Solution_"&amp;B199,Feuil2!B:B,Feuil2!C:C,"Non trouvé")</f>
        <v>Non trouvé</v>
      </c>
    </row>
    <row r="200" spans="1:8" x14ac:dyDescent="0.25">
      <c r="A200" t="s">
        <v>749</v>
      </c>
      <c r="B200" t="s">
        <v>1029</v>
      </c>
      <c r="C200" t="s">
        <v>1030</v>
      </c>
      <c r="D200" t="s">
        <v>1031</v>
      </c>
      <c r="E200" t="s">
        <v>1032</v>
      </c>
      <c r="F200" s="3" t="str">
        <f>_xlfn.XLOOKUP("Explication_"&amp;B200,Feuil2!B:B,Feuil2!C:C,"Non trouvé")</f>
        <v>L'automate ne communique pas avec le capteur</v>
      </c>
      <c r="G200" t="str">
        <f>_xlfn.XLOOKUP("Cause_"&amp;B200,Feuil2!B:B,Feuil2!C:C,"Non trouvé")</f>
        <v>- Capteur défectueux
- Câble défectueux</v>
      </c>
      <c r="H200" t="str">
        <f>_xlfn.XLOOKUP("Solution_"&amp;B200,Feuil2!B:B,Feuil2!C:C,"Non trouvé")</f>
        <v>- Vérifier l'état du capteur et son câble et changer ce qui doit l'être
- Si le problème persiste, contacter Ecat-iD</v>
      </c>
    </row>
    <row r="201" spans="1:8" ht="30" x14ac:dyDescent="0.25">
      <c r="A201" t="s">
        <v>754</v>
      </c>
      <c r="B201" t="s">
        <v>1033</v>
      </c>
      <c r="C201" t="s">
        <v>1034</v>
      </c>
      <c r="D201" t="s">
        <v>1035</v>
      </c>
      <c r="E201" t="s">
        <v>1036</v>
      </c>
      <c r="F201" s="3" t="str">
        <f>_xlfn.XLOOKUP("Explication_"&amp;B201,Feuil2!B:B,Feuil2!C:C,"Non trouvé")</f>
        <v>Il y a un problème (matériel ou logiciel) sur la carte graphique du PC, qui ne peut donc pas analyser les images</v>
      </c>
      <c r="G201" t="str">
        <f>_xlfn.XLOOKUP("Cause_"&amp;B201,Feuil2!B:B,Feuil2!C:C,"Non trouvé")</f>
        <v>- Problème matériel
- Problème logiciel</v>
      </c>
      <c r="H201" t="str">
        <f>_xlfn.XLOOKUP("Solution_"&amp;B201,Feuil2!B:B,Feuil2!C:C,"Non trouvé")</f>
        <v>- Redémarrer la machine
- Si le problème persiste, contacter Ecat-iD</v>
      </c>
    </row>
    <row r="202" spans="1:8" x14ac:dyDescent="0.25">
      <c r="A202" t="s">
        <v>759</v>
      </c>
      <c r="B202" t="s">
        <v>1037</v>
      </c>
      <c r="C202" t="s">
        <v>1038</v>
      </c>
      <c r="D202" t="s">
        <v>1039</v>
      </c>
      <c r="E202" t="s">
        <v>1040</v>
      </c>
      <c r="F202" s="3" t="str">
        <f>_xlfn.XLOOKUP("Explication_"&amp;B202,Feuil2!B:B,Feuil2!C:C,"Non trouvé")</f>
        <v>L'application n'arrive pas à démarrer correctement</v>
      </c>
      <c r="G202" t="str">
        <f>_xlfn.XLOOKUP("Cause_"&amp;B202,Feuil2!B:B,Feuil2!C:C,"Non trouvé")</f>
        <v>L'application a du mal à initialiser un de ses modules : carte PCI, caméras, carte graphique, etc…</v>
      </c>
      <c r="H202" t="str">
        <f>_xlfn.XLOOKUP("Solution_"&amp;B202,Feuil2!B:B,Feuil2!C:C,"Non trouvé")</f>
        <v>- Redémarrer la machine
- Si le problème persiste, contacter Ecat-iD</v>
      </c>
    </row>
    <row r="203" spans="1:8" ht="45" x14ac:dyDescent="0.25">
      <c r="A203" t="s">
        <v>764</v>
      </c>
      <c r="B203" t="s">
        <v>1041</v>
      </c>
      <c r="C203" t="s">
        <v>1042</v>
      </c>
      <c r="D203" t="s">
        <v>1043</v>
      </c>
      <c r="E203" t="s">
        <v>1019</v>
      </c>
      <c r="F203" s="3" t="str">
        <f>_xlfn.XLOOKUP("Explication_"&amp;B203,Feuil2!B:B,Feuil2!C:C,"Non trouvé")</f>
        <v>Le débit d'air mesuré par le capteur de débit a été hors plage de fonctionnement pendant un certain nombre de fois. Ces codes sont pour l'aiguillage vers la voie extérieure.</v>
      </c>
      <c r="G203" t="str">
        <f>_xlfn.XLOOKUP("Cause_"&amp;B203,Feuil2!B:B,Feuil2!C:C,"Non trouvé")</f>
        <v>- Niveau d'air trop faible ou trop élevé
- Electrovanne bouchée ou colmatée
- Tuyau endommagé (plié, bouché, percé, etc…)</v>
      </c>
      <c r="H203" t="str">
        <f>_xlfn.XLOOKUP("Solution_"&amp;B203,Feuil2!B:B,Feuil2!C:C,"Non trouvé")</f>
        <v>- Contrôler le niveau d'air
- Contrôler l'électrovanne
- Contrôler le tuyau d'air
- Changer l'électrovanne et / ou le tuyau si nécessaire</v>
      </c>
    </row>
    <row r="204" spans="1:8" ht="45" x14ac:dyDescent="0.25">
      <c r="A204" t="s">
        <v>768</v>
      </c>
      <c r="B204" t="s">
        <v>1044</v>
      </c>
      <c r="C204" t="s">
        <v>1045</v>
      </c>
      <c r="D204" t="s">
        <v>1046</v>
      </c>
      <c r="E204" t="s">
        <v>1023</v>
      </c>
      <c r="F204" s="3" t="str">
        <f>_xlfn.XLOOKUP("Explication_"&amp;B204,Feuil2!B:B,Feuil2!C:C,"Non trouvé")</f>
        <v>Le débit d'air mesuré par le capteur de débit a été hors plage de fonctionnement pendant un certain nombre de fois. Ces codes sont pour l'aiguillage vers la voie extérieure.</v>
      </c>
      <c r="G204" t="str">
        <f>_xlfn.XLOOKUP("Cause_"&amp;B204,Feuil2!B:B,Feuil2!C:C,"Non trouvé")</f>
        <v>- Niveau d'air trop faible ou trop élevé
- Electrovanne bouchée ou colmatée
- Tuyau endommagé (plié, bouché, percé, etc…)</v>
      </c>
      <c r="H204" t="str">
        <f>_xlfn.XLOOKUP("Solution_"&amp;B204,Feuil2!B:B,Feuil2!C:C,"Non trouvé")</f>
        <v>- Contrôler le niveau d'air
- Contrôler l'électrovanne
- Contrôler le tuyau d'air
- Changer l'électrovanne et / ou le tuyau si nécessaire</v>
      </c>
    </row>
    <row r="205" spans="1:8" ht="45" x14ac:dyDescent="0.25">
      <c r="A205" t="s">
        <v>659</v>
      </c>
      <c r="B205" t="s">
        <v>1047</v>
      </c>
      <c r="C205" t="s">
        <v>1048</v>
      </c>
      <c r="D205" t="s">
        <v>1049</v>
      </c>
      <c r="E205" t="s">
        <v>1050</v>
      </c>
      <c r="F205" s="3" t="str">
        <f>_xlfn.XLOOKUP("Explication_"&amp;B205,Feuil2!B:B,Feuil2!C:C,"Non trouvé")</f>
        <v>La machine estime qu'il y a au moins un poussin coincé quelque part, ce qui provoque des tas de poussins sur cette voie, sous l'analyse. Cela fausse donc les résultats.</v>
      </c>
      <c r="G205" t="str">
        <f>_xlfn.XLOOKUP("Cause_"&amp;B205,Feuil2!B:B,Feuil2!C:C,"Non trouvé")</f>
        <v>Un poussin est passé sous la bande du convoyeur ou est coincé sous une rive et provoque des tas de poussins.</v>
      </c>
      <c r="H205" t="str">
        <f>_xlfn.XLOOKUP("Solution_"&amp;B205,Feuil2!B:B,Feuil2!C:C,"Non trouvé")</f>
        <v>S'il y a un / des poussin(s) coincé(s), retirer-les.</v>
      </c>
    </row>
    <row r="206" spans="1:8" ht="30" x14ac:dyDescent="0.25">
      <c r="A206" t="s">
        <v>654</v>
      </c>
      <c r="B206" t="s">
        <v>1051</v>
      </c>
      <c r="C206" t="s">
        <v>1052</v>
      </c>
      <c r="D206" t="s">
        <v>1053</v>
      </c>
      <c r="E206" t="s">
        <v>1054</v>
      </c>
      <c r="F206" s="3" t="str">
        <f>_xlfn.XLOOKUP("Explication_"&amp;B206,Feuil2!B:B,Feuil2!C:C,"Non trouvé")</f>
        <v>Il n'y a pas de communication entre l'automate (PLC) et l'application informatique de cette voie.</v>
      </c>
      <c r="G206" t="str">
        <f>_xlfn.XLOOKUP("Cause_"&amp;B206,Feuil2!B:B,Feuil2!C:C,"Non trouvé")</f>
        <v>- Le PC est en défaut : freeze, écran bleu, pas d'alimentation, etc…
- Liaison Ethernet PC / PLC défaillante</v>
      </c>
      <c r="H206" t="str">
        <f>_xlfn.XLOOKUP("Solution_"&amp;B206,Feuil2!B:B,Feuil2!C:C,"Non trouvé")</f>
        <v>- Eteindre et rallumer la machine
- Vérifier les connexions Ethernet
- Si le problème persiste, contacter Ecat-iD</v>
      </c>
    </row>
    <row r="207" spans="1:8" x14ac:dyDescent="0.25">
      <c r="A207" t="s">
        <v>664</v>
      </c>
      <c r="B207" t="s">
        <v>1055</v>
      </c>
      <c r="C207" t="s">
        <v>1056</v>
      </c>
      <c r="D207" t="s">
        <v>1057</v>
      </c>
      <c r="E207" t="s">
        <v>1058</v>
      </c>
      <c r="F207" s="3" t="str">
        <f>_xlfn.XLOOKUP("Explication_"&amp;B207,Feuil2!B:B,Feuil2!C:C,"Non trouvé")</f>
        <v>Non trouvé</v>
      </c>
      <c r="G207" t="str">
        <f>_xlfn.XLOOKUP("Cause_"&amp;B207,Feuil2!B:B,Feuil2!C:C,"Non trouvé")</f>
        <v>Non trouvé</v>
      </c>
      <c r="H207" t="str">
        <f>_xlfn.XLOOKUP("Solution_"&amp;B207,Feuil2!B:B,Feuil2!C:C,"Non trouvé")</f>
        <v>Non trouvé</v>
      </c>
    </row>
    <row r="208" spans="1:8" x14ac:dyDescent="0.25">
      <c r="A208" t="s">
        <v>669</v>
      </c>
      <c r="B208" t="s">
        <v>1059</v>
      </c>
      <c r="C208" t="s">
        <v>1060</v>
      </c>
      <c r="D208" t="s">
        <v>1061</v>
      </c>
      <c r="E208" t="s">
        <v>1062</v>
      </c>
      <c r="F208" s="3" t="str">
        <f>_xlfn.XLOOKUP("Explication_"&amp;B208,Feuil2!B:B,Feuil2!C:C,"Non trouvé")</f>
        <v>Le PC ne reçoit pas les images</v>
      </c>
      <c r="G208" t="str">
        <f>_xlfn.XLOOKUP("Cause_"&amp;B208,Feuil2!B:B,Feuil2!C:C,"Non trouvé")</f>
        <v>- Perte de communication avec la caméra
- Caméra ou câble défectueux</v>
      </c>
      <c r="H208" t="str">
        <f>_xlfn.XLOOKUP("Solution_"&amp;B208,Feuil2!B:B,Feuil2!C:C,"Non trouvé")</f>
        <v>- Débrancher puis rebrancher les câbles USB des caméras, puis appuyer sur le bouton "INITIALISATION" sur l'IHM
- Si le problème persiste, redémarrer la machine
- Si le problème persiste encore, contacter Ecat-iD</v>
      </c>
    </row>
    <row r="209" spans="1:8" ht="30" x14ac:dyDescent="0.25">
      <c r="A209" t="s">
        <v>674</v>
      </c>
      <c r="B209" t="s">
        <v>1063</v>
      </c>
      <c r="C209" t="s">
        <v>1064</v>
      </c>
      <c r="D209" t="s">
        <v>1065</v>
      </c>
      <c r="E209" t="s">
        <v>1066</v>
      </c>
      <c r="F209" s="3" t="str">
        <f>_xlfn.XLOOKUP("Explication_"&amp;B209,Feuil2!B:B,Feuil2!C:C,"Non trouvé")</f>
        <v>La température d'au moins une des deux caméras de la voie est trop élevée. Les performances de la machine peuvent être diminuées.</v>
      </c>
      <c r="G209" t="str">
        <f>_xlfn.XLOOKUP("Cause_"&amp;B209,Feuil2!B:B,Feuil2!C:C,"Non trouvé")</f>
        <v>- Environnement trop chaud
- Mauvaise dissipation de la chaleur dans le caisson caméras</v>
      </c>
      <c r="H209" t="str">
        <f>_xlfn.XLOOKUP("Solution_"&amp;B209,Feuil2!B:B,Feuil2!C:C,"Non trouvé")</f>
        <v>- Contrôler le caisson caméras
- Essayer d'arrêter la machine pendant quelques minutes
- Si le problème persiste, contacter Ecat-iD</v>
      </c>
    </row>
    <row r="210" spans="1:8" x14ac:dyDescent="0.25">
      <c r="A210" t="s">
        <v>679</v>
      </c>
      <c r="B210" t="s">
        <v>1067</v>
      </c>
      <c r="C210" t="s">
        <v>1068</v>
      </c>
      <c r="D210" t="s">
        <v>1069</v>
      </c>
      <c r="E210" t="s">
        <v>1070</v>
      </c>
      <c r="F210" s="3" t="str">
        <f>_xlfn.XLOOKUP("Explication_"&amp;B210,Feuil2!B:B,Feuil2!C:C,"Non trouvé")</f>
        <v>Non trouvé</v>
      </c>
      <c r="G210" t="str">
        <f>_xlfn.XLOOKUP("Cause_"&amp;B210,Feuil2!B:B,Feuil2!C:C,"Non trouvé")</f>
        <v>Non trouvé</v>
      </c>
      <c r="H210" t="str">
        <f>_xlfn.XLOOKUP("Solution_"&amp;B210,Feuil2!B:B,Feuil2!C:C,"Non trouvé")</f>
        <v>Non trouvé</v>
      </c>
    </row>
    <row r="211" spans="1:8" x14ac:dyDescent="0.25">
      <c r="A211" t="s">
        <v>684</v>
      </c>
      <c r="B211" t="s">
        <v>1071</v>
      </c>
      <c r="C211" t="s">
        <v>1072</v>
      </c>
      <c r="D211" t="s">
        <v>1073</v>
      </c>
      <c r="E211" t="s">
        <v>1074</v>
      </c>
      <c r="F211" s="3" t="str">
        <f>_xlfn.XLOOKUP("Explication_"&amp;B211,Feuil2!B:B,Feuil2!C:C,"Non trouvé")</f>
        <v>Pas assez ou trop d'éclairage sur la voie</v>
      </c>
      <c r="G211" t="str">
        <f>_xlfn.XLOOKUP("Cause_"&amp;B211,Feuil2!B:B,Feuil2!C:C,"Non trouvé")</f>
        <v>- Mauvaise valeur sur le temps d'exposition des caméras.
- Problème de calibration sur les caméras.
- Salissure sur les caméras.
- Problème d'éclairage sur les barres de LED.
- Forte réflexion de lumière sur les rives.</v>
      </c>
      <c r="H211" t="str">
        <f>_xlfn.XLOOKUP("Solution_"&amp;B211,Feuil2!B:B,Feuil2!C:C,"Non trouvé")</f>
        <v>- Vérifier que les éclairages ne soient pas sales
- Vérifier que les éclairages s'allument autant (ni plus, ni moins) que les autres voies qui fonctionnent
- Vérifier qu'il n'y ai pas trop de réflexion de la lumière sur les rives des convoyeurs
- Contrôler le temps d'exposition des caméras (Ecat-iD)
- Refaire une calibration des caméras (Ecat-iD)</v>
      </c>
    </row>
    <row r="212" spans="1:8" ht="30" x14ac:dyDescent="0.25">
      <c r="A212" t="s">
        <v>689</v>
      </c>
      <c r="B212" t="s">
        <v>1075</v>
      </c>
      <c r="C212" t="s">
        <v>1076</v>
      </c>
      <c r="D212" t="s">
        <v>1077</v>
      </c>
      <c r="E212" t="s">
        <v>1078</v>
      </c>
      <c r="F212" s="3" t="str">
        <f>_xlfn.XLOOKUP("Explication_"&amp;B212,Feuil2!B:B,Feuil2!C:C,"Non trouvé")</f>
        <v>Sur plusieurs centaines de poussins d'affilés, il y a eu trop de poussins difficilement sexables</v>
      </c>
      <c r="G212" t="str">
        <f>_xlfn.XLOOKUP("Cause_"&amp;B212,Feuil2!B:B,Feuil2!C:C,"Non trouvé")</f>
        <v>- Poussins issus de parquet trop jeunes (&lt;30 semaines, c'est un problème connu)
- Problème optique ou des salissures sur les caméras.
- Les poussins n'ouvrent pas assez les ailes à cause d'un dysfonctionnement sur les systèmes d'oscillation
- Les poussins sont trop collés (cadence trop élevée ou mauvais répartition entre les voies)</v>
      </c>
      <c r="H212" t="str">
        <f>_xlfn.XLOOKUP("Solution_"&amp;B212,Feuil2!B:B,Feuil2!C:C,"Non trouvé")</f>
        <v>- Vérifier l'âge du parquet (normal si &lt; à 30 semaines)
- Contrôler les éclairages
- Contrôler les systèmes d'oscillation
- Faire attention à la répartition, la quantité, et le nombre de poussins sur la table de tri pour éviter d'avoir trop de poussins collés</v>
      </c>
    </row>
    <row r="213" spans="1:8" ht="30" x14ac:dyDescent="0.25">
      <c r="A213" t="s">
        <v>694</v>
      </c>
      <c r="B213" t="s">
        <v>1079</v>
      </c>
      <c r="C213" t="s">
        <v>1080</v>
      </c>
      <c r="D213" t="s">
        <v>1081</v>
      </c>
      <c r="E213" t="s">
        <v>1082</v>
      </c>
      <c r="F213" s="3" t="str">
        <f>_xlfn.XLOOKUP("Explication_"&amp;B213,Feuil2!B:B,Feuil2!C:C,"Non trouvé")</f>
        <v>Sur plusieurs centaines de poussins d'affilés, il y a eu trop de poussins collés</v>
      </c>
      <c r="G213" t="str">
        <f>_xlfn.XLOOKUP("Cause_"&amp;B213,Feuil2!B:B,Feuil2!C:C,"Non trouvé")</f>
        <v>- Poussins coincés
- Cadence trop élevée
- Mauvaise séparation sur la table de tri
- Problème sur les convoyeurs de séparation.</v>
      </c>
      <c r="H213" t="str">
        <f>_xlfn.XLOOKUP("Solution_"&amp;B213,Feuil2!B:B,Feuil2!C:C,"Non trouvé")</f>
        <v>- Réduire la cadence
- Vérifier la bonne répartition sur la ligne de tri
- Vérifier le bon fonctionnement du convoyeur séparateur</v>
      </c>
    </row>
    <row r="214" spans="1:8" x14ac:dyDescent="0.25">
      <c r="A214" t="s">
        <v>699</v>
      </c>
      <c r="B214" t="s">
        <v>1083</v>
      </c>
      <c r="C214" t="s">
        <v>1084</v>
      </c>
      <c r="D214" t="s">
        <v>1085</v>
      </c>
      <c r="E214" t="s">
        <v>1086</v>
      </c>
      <c r="F214" s="3" t="str">
        <f>_xlfn.XLOOKUP("Explication_"&amp;B214,Feuil2!B:B,Feuil2!C:C,"Non trouvé")</f>
        <v>Le disque dur SSD du PC est occupé à plus de 90% de sa capacité</v>
      </c>
      <c r="G214" t="str">
        <f>_xlfn.XLOOKUP("Cause_"&amp;B214,Feuil2!B:B,Feuil2!C:C,"Non trouvé")</f>
        <v>- Tests en cours avec la sauvegarde des images activée.
- Quelqu'un a oublié de désactiver la sauvegarde des images dans le fichier de configuration</v>
      </c>
      <c r="H214" t="str">
        <f>_xlfn.XLOOKUP("Solution_"&amp;B214,Feuil2!B:B,Feuil2!C:C,"Non trouvé")</f>
        <v>- Vérifier le fichier de config (Ecat-iD)
- Contacter Ecat-iD</v>
      </c>
    </row>
    <row r="215" spans="1:8" x14ac:dyDescent="0.25">
      <c r="A215" t="s">
        <v>1087</v>
      </c>
      <c r="B215" t="s">
        <v>1088</v>
      </c>
      <c r="C215" t="s">
        <v>1089</v>
      </c>
      <c r="D215" t="s">
        <v>1090</v>
      </c>
      <c r="E215" t="s">
        <v>1091</v>
      </c>
      <c r="F215" s="3" t="str">
        <f>_xlfn.XLOOKUP("Explication_"&amp;B215,Feuil2!B:B,Feuil2!C:C,"Non trouvé")</f>
        <v>Non trouvé</v>
      </c>
      <c r="G215" t="str">
        <f>_xlfn.XLOOKUP("Cause_"&amp;B215,Feuil2!B:B,Feuil2!C:C,"Non trouvé")</f>
        <v>Non trouvé</v>
      </c>
      <c r="H215" t="str">
        <f>_xlfn.XLOOKUP("Solution_"&amp;B215,Feuil2!B:B,Feuil2!C:C,"Non trouvé")</f>
        <v>Non trouvé</v>
      </c>
    </row>
    <row r="216" spans="1:8" x14ac:dyDescent="0.25">
      <c r="A216" t="s">
        <v>709</v>
      </c>
      <c r="B216" t="s">
        <v>1092</v>
      </c>
      <c r="C216" t="s">
        <v>1093</v>
      </c>
      <c r="D216" t="s">
        <v>1094</v>
      </c>
      <c r="E216" t="s">
        <v>1095</v>
      </c>
      <c r="F216" s="3" t="str">
        <f>_xlfn.XLOOKUP("Explication_"&amp;B216,Feuil2!B:B,Feuil2!C:C,"Non trouvé")</f>
        <v>Non trouvé</v>
      </c>
      <c r="G216" t="str">
        <f>_xlfn.XLOOKUP("Cause_"&amp;B216,Feuil2!B:B,Feuil2!C:C,"Non trouvé")</f>
        <v>Non trouvé</v>
      </c>
      <c r="H216" t="str">
        <f>_xlfn.XLOOKUP("Solution_"&amp;B216,Feuil2!B:B,Feuil2!C:C,"Non trouvé")</f>
        <v>Non trouvé</v>
      </c>
    </row>
    <row r="217" spans="1:8" x14ac:dyDescent="0.25">
      <c r="A217" t="s">
        <v>714</v>
      </c>
      <c r="B217" t="s">
        <v>1096</v>
      </c>
      <c r="C217" t="s">
        <v>1097</v>
      </c>
      <c r="D217" t="s">
        <v>1098</v>
      </c>
      <c r="E217" t="s">
        <v>1099</v>
      </c>
      <c r="F217" s="3" t="str">
        <f>_xlfn.XLOOKUP("Explication_"&amp;B217,Feuil2!B:B,Feuil2!C:C,"Non trouvé")</f>
        <v>Non trouvé</v>
      </c>
      <c r="G217" t="str">
        <f>_xlfn.XLOOKUP("Cause_"&amp;B217,Feuil2!B:B,Feuil2!C:C,"Non trouvé")</f>
        <v>Non trouvé</v>
      </c>
      <c r="H217" t="str">
        <f>_xlfn.XLOOKUP("Solution_"&amp;B217,Feuil2!B:B,Feuil2!C:C,"Non trouvé")</f>
        <v>Non trouvé</v>
      </c>
    </row>
    <row r="218" spans="1:8" x14ac:dyDescent="0.25">
      <c r="A218" t="s">
        <v>719</v>
      </c>
      <c r="B218" t="s">
        <v>1100</v>
      </c>
      <c r="C218" t="s">
        <v>1101</v>
      </c>
      <c r="D218" t="s">
        <v>1102</v>
      </c>
      <c r="E218" t="s">
        <v>1103</v>
      </c>
      <c r="F218" s="3" t="str">
        <f>_xlfn.XLOOKUP("Explication_"&amp;B218,Feuil2!B:B,Feuil2!C:C,"Non trouvé")</f>
        <v>La mémoire RAM du est surchargé à plus de 90% de sa capacité</v>
      </c>
      <c r="G218" t="str">
        <f>_xlfn.XLOOKUP("Cause_"&amp;B218,Feuil2!B:B,Feuil2!C:C,"Non trouvé")</f>
        <v>- Tests en cours avec la sauvegarde des images activée.
- Quelqu'un a cliqué dans la console de l'application (= freeze de l'application)
- Quelqu'un a oublié de désactiver la sauvegarde des images dans le fichier de configuration</v>
      </c>
      <c r="H218" t="str">
        <f>_xlfn.XLOOKUP("Solution_"&amp;B218,Feuil2!B:B,Feuil2!C:C,"Non trouvé")</f>
        <v>- Vérifier le fichier de config (Ecat-iD)
- Contacter Ecat-iD</v>
      </c>
    </row>
    <row r="219" spans="1:8" x14ac:dyDescent="0.25">
      <c r="A219" t="s">
        <v>724</v>
      </c>
      <c r="B219" t="s">
        <v>1104</v>
      </c>
      <c r="C219" t="s">
        <v>1105</v>
      </c>
      <c r="D219" t="s">
        <v>1106</v>
      </c>
      <c r="E219" t="s">
        <v>1107</v>
      </c>
      <c r="F219" s="3" t="str">
        <f>_xlfn.XLOOKUP("Explication_"&amp;B219,Feuil2!B:B,Feuil2!C:C,"Non trouvé")</f>
        <v>Non trouvé</v>
      </c>
      <c r="G219" t="str">
        <f>_xlfn.XLOOKUP("Cause_"&amp;B219,Feuil2!B:B,Feuil2!C:C,"Non trouvé")</f>
        <v>Non trouvé</v>
      </c>
      <c r="H219" t="str">
        <f>_xlfn.XLOOKUP("Solution_"&amp;B219,Feuil2!B:B,Feuil2!C:C,"Non trouvé")</f>
        <v>Non trouvé</v>
      </c>
    </row>
    <row r="220" spans="1:8" x14ac:dyDescent="0.25">
      <c r="A220" t="s">
        <v>729</v>
      </c>
      <c r="B220" t="s">
        <v>1108</v>
      </c>
      <c r="C220" t="s">
        <v>1109</v>
      </c>
      <c r="D220" t="s">
        <v>1110</v>
      </c>
      <c r="E220" t="s">
        <v>1111</v>
      </c>
      <c r="F220" s="3" t="str">
        <f>_xlfn.XLOOKUP("Explication_"&amp;B220,Feuil2!B:B,Feuil2!C:C,"Non trouvé")</f>
        <v>La CPU du PC est surchargé à plus de 95% de sa capacité</v>
      </c>
      <c r="G220" t="str">
        <f>_xlfn.XLOOKUP("Cause_"&amp;B220,Feuil2!B:B,Feuil2!C:C,"Non trouvé")</f>
        <v>Quelque chose occupe les ressources du PC (OS, driver, programme, etc…)</v>
      </c>
      <c r="H220" t="str">
        <f>_xlfn.XLOOKUP("Solution_"&amp;B220,Feuil2!B:B,Feuil2!C:C,"Non trouvé")</f>
        <v>- Redémarrer le PC
- Si le problème persiste, contacter Ecat-iD</v>
      </c>
    </row>
    <row r="221" spans="1:8" ht="45" x14ac:dyDescent="0.25">
      <c r="A221" t="s">
        <v>734</v>
      </c>
      <c r="B221" t="s">
        <v>1112</v>
      </c>
      <c r="C221" t="s">
        <v>1113</v>
      </c>
      <c r="D221" t="s">
        <v>1114</v>
      </c>
      <c r="E221" t="s">
        <v>1115</v>
      </c>
      <c r="F221" s="3" t="str">
        <f>_xlfn.XLOOKUP("Explication_"&amp;B221,Feuil2!B:B,Feuil2!C:C,"Non trouvé")</f>
        <v>Le débit d'air mesuré par le capteur de débit a été hors plage de fonctionnement pendant un certain nombre de fois. Ces codes sont pour l'aiguillage vers la voie intérieure.</v>
      </c>
      <c r="G221" t="str">
        <f>_xlfn.XLOOKUP("Cause_"&amp;B221,Feuil2!B:B,Feuil2!C:C,"Non trouvé")</f>
        <v>- Niveau d'air trop faible ou trop élevé
- Electrovanne bouchée ou colmatée
- Tuyau endommagé (plié, bouché, percé, etc…)</v>
      </c>
      <c r="H221" t="str">
        <f>_xlfn.XLOOKUP("Solution_"&amp;B221,Feuil2!B:B,Feuil2!C:C,"Non trouvé")</f>
        <v>- Contrôler le niveau d'air
- Contrôler l'électrovanne
- Contrôler le tuyau d'air
- Changer l'électrovanne et / ou le tuyau si nécessaire</v>
      </c>
    </row>
    <row r="222" spans="1:8" ht="45" x14ac:dyDescent="0.25">
      <c r="A222" t="s">
        <v>739</v>
      </c>
      <c r="B222" t="s">
        <v>1116</v>
      </c>
      <c r="C222" t="s">
        <v>1117</v>
      </c>
      <c r="D222" t="s">
        <v>1118</v>
      </c>
      <c r="E222" t="s">
        <v>1119</v>
      </c>
      <c r="F222" s="3" t="str">
        <f>_xlfn.XLOOKUP("Explication_"&amp;B222,Feuil2!B:B,Feuil2!C:C,"Non trouvé")</f>
        <v>Le débit d'air mesuré par le capteur de débit a été hors plage de fonctionnement pendant un certain nombre de fois. Ces codes sont pour l'aiguillage vers la voie intérieure.</v>
      </c>
      <c r="G222" t="str">
        <f>_xlfn.XLOOKUP("Cause_"&amp;B222,Feuil2!B:B,Feuil2!C:C,"Non trouvé")</f>
        <v>- Niveau d'air trop faible ou trop élevé
- Electrovanne bouchée ou colmatée
- Tuyau endommagé (plié, bouché, percé, etc…)</v>
      </c>
      <c r="H222" t="str">
        <f>_xlfn.XLOOKUP("Solution_"&amp;B222,Feuil2!B:B,Feuil2!C:C,"Non trouvé")</f>
        <v>- Contrôler le niveau d'air
- Contrôler l'électrovanne
- Contrôler le tuyau d'air
- Changer l'électrovanne et / ou le tuyau si nécessaire</v>
      </c>
    </row>
    <row r="223" spans="1:8" x14ac:dyDescent="0.25">
      <c r="A223" t="s">
        <v>1120</v>
      </c>
      <c r="B223" t="s">
        <v>1121</v>
      </c>
      <c r="C223" t="s">
        <v>1122</v>
      </c>
      <c r="D223" t="s">
        <v>1123</v>
      </c>
      <c r="E223" t="s">
        <v>1124</v>
      </c>
      <c r="F223" s="3" t="str">
        <f>_xlfn.XLOOKUP("Explication_"&amp;B223,Feuil2!B:B,Feuil2!C:C,"Non trouvé")</f>
        <v>Non trouvé</v>
      </c>
      <c r="G223" t="str">
        <f>_xlfn.XLOOKUP("Cause_"&amp;B223,Feuil2!B:B,Feuil2!C:C,"Non trouvé")</f>
        <v>Non trouvé</v>
      </c>
      <c r="H223" t="str">
        <f>_xlfn.XLOOKUP("Solution_"&amp;B223,Feuil2!B:B,Feuil2!C:C,"Non trouvé")</f>
        <v>Non trouvé</v>
      </c>
    </row>
    <row r="224" spans="1:8" x14ac:dyDescent="0.25">
      <c r="A224" t="s">
        <v>749</v>
      </c>
      <c r="B224" t="s">
        <v>1125</v>
      </c>
      <c r="C224" t="s">
        <v>1126</v>
      </c>
      <c r="D224" t="s">
        <v>1127</v>
      </c>
      <c r="E224" t="s">
        <v>1128</v>
      </c>
      <c r="F224" s="3" t="str">
        <f>_xlfn.XLOOKUP("Explication_"&amp;B224,Feuil2!B:B,Feuil2!C:C,"Non trouvé")</f>
        <v>L'automate ne communique pas avec le capteur</v>
      </c>
      <c r="G224" t="str">
        <f>_xlfn.XLOOKUP("Cause_"&amp;B224,Feuil2!B:B,Feuil2!C:C,"Non trouvé")</f>
        <v>- Capteur défectueux
- Câble défectueux</v>
      </c>
      <c r="H224" t="str">
        <f>_xlfn.XLOOKUP("Solution_"&amp;B224,Feuil2!B:B,Feuil2!C:C,"Non trouvé")</f>
        <v>- Vérifier l'état du capteur et son câble et changer ce qui doit l'être
- Si le problème persiste, contacter Ecat-iD</v>
      </c>
    </row>
    <row r="225" spans="1:8" ht="30" x14ac:dyDescent="0.25">
      <c r="A225" t="s">
        <v>754</v>
      </c>
      <c r="B225" t="s">
        <v>1129</v>
      </c>
      <c r="C225" t="s">
        <v>1130</v>
      </c>
      <c r="D225" t="s">
        <v>1131</v>
      </c>
      <c r="E225" t="s">
        <v>1132</v>
      </c>
      <c r="F225" s="3" t="str">
        <f>_xlfn.XLOOKUP("Explication_"&amp;B225,Feuil2!B:B,Feuil2!C:C,"Non trouvé")</f>
        <v>Il y a un problème (matériel ou logiciel) sur la carte graphique du PC, qui ne peut donc pas analyser les images</v>
      </c>
      <c r="G225" t="str">
        <f>_xlfn.XLOOKUP("Cause_"&amp;B225,Feuil2!B:B,Feuil2!C:C,"Non trouvé")</f>
        <v>- Problème matériel
- Problème logiciel</v>
      </c>
      <c r="H225" t="str">
        <f>_xlfn.XLOOKUP("Solution_"&amp;B225,Feuil2!B:B,Feuil2!C:C,"Non trouvé")</f>
        <v>- Redémarrer la machine
- Si le problème persiste, contacter Ecat-iD</v>
      </c>
    </row>
    <row r="226" spans="1:8" x14ac:dyDescent="0.25">
      <c r="A226" t="s">
        <v>759</v>
      </c>
      <c r="B226" t="s">
        <v>1133</v>
      </c>
      <c r="C226" t="s">
        <v>1134</v>
      </c>
      <c r="D226" t="s">
        <v>1135</v>
      </c>
      <c r="E226" t="s">
        <v>1136</v>
      </c>
      <c r="F226" s="3" t="str">
        <f>_xlfn.XLOOKUP("Explication_"&amp;B226,Feuil2!B:B,Feuil2!C:C,"Non trouvé")</f>
        <v>L'application n'arrive pas à démarrer correctement</v>
      </c>
      <c r="G226" t="str">
        <f>_xlfn.XLOOKUP("Cause_"&amp;B226,Feuil2!B:B,Feuil2!C:C,"Non trouvé")</f>
        <v>L'application a du mal à initialiser un de ses modules : carte PCI, caméras, carte graphique, etc…</v>
      </c>
      <c r="H226" t="str">
        <f>_xlfn.XLOOKUP("Solution_"&amp;B226,Feuil2!B:B,Feuil2!C:C,"Non trouvé")</f>
        <v>- Redémarrer la machine
- Si le problème persiste, contacter Ecat-iD</v>
      </c>
    </row>
    <row r="227" spans="1:8" ht="45" x14ac:dyDescent="0.25">
      <c r="A227" t="s">
        <v>764</v>
      </c>
      <c r="B227" t="s">
        <v>1137</v>
      </c>
      <c r="C227" t="s">
        <v>1138</v>
      </c>
      <c r="D227" t="s">
        <v>1139</v>
      </c>
      <c r="E227" t="s">
        <v>1115</v>
      </c>
      <c r="F227" s="3" t="str">
        <f>_xlfn.XLOOKUP("Explication_"&amp;B227,Feuil2!B:B,Feuil2!C:C,"Non trouvé")</f>
        <v>Le débit d'air mesuré par le capteur de débit a été hors plage de fonctionnement pendant un certain nombre de fois. Ces codes sont pour l'aiguillage vers la voie extérieure.</v>
      </c>
      <c r="G227" t="str">
        <f>_xlfn.XLOOKUP("Cause_"&amp;B227,Feuil2!B:B,Feuil2!C:C,"Non trouvé")</f>
        <v>- Niveau d'air trop faible ou trop élevé
- Electrovanne bouchée ou colmatée
- Tuyau endommagé (plié, bouché, percé, etc…)</v>
      </c>
      <c r="H227" t="str">
        <f>_xlfn.XLOOKUP("Solution_"&amp;B227,Feuil2!B:B,Feuil2!C:C,"Non trouvé")</f>
        <v>- Contrôler le niveau d'air
- Contrôler l'électrovanne
- Contrôler le tuyau d'air
- Changer l'électrovanne et / ou le tuyau si nécessaire</v>
      </c>
    </row>
    <row r="228" spans="1:8" ht="45" x14ac:dyDescent="0.25">
      <c r="A228" t="s">
        <v>768</v>
      </c>
      <c r="B228" t="s">
        <v>1140</v>
      </c>
      <c r="C228" t="s">
        <v>1141</v>
      </c>
      <c r="D228" t="s">
        <v>1142</v>
      </c>
      <c r="E228" t="s">
        <v>1119</v>
      </c>
      <c r="F228" s="3" t="str">
        <f>_xlfn.XLOOKUP("Explication_"&amp;B228,Feuil2!B:B,Feuil2!C:C,"Non trouvé")</f>
        <v>Le débit d'air mesuré par le capteur de débit a été hors plage de fonctionnement pendant un certain nombre de fois. Ces codes sont pour l'aiguillage vers la voie extérieure.</v>
      </c>
      <c r="G228" t="str">
        <f>_xlfn.XLOOKUP("Cause_"&amp;B228,Feuil2!B:B,Feuil2!C:C,"Non trouvé")</f>
        <v>- Niveau d'air trop faible ou trop élevé
- Electrovanne bouchée ou colmatée
- Tuyau endommagé (plié, bouché, percé, etc…)</v>
      </c>
      <c r="H228" t="str">
        <f>_xlfn.XLOOKUP("Solution_"&amp;B228,Feuil2!B:B,Feuil2!C:C,"Non trouvé")</f>
        <v>- Contrôler le niveau d'air
- Contrôler l'électrovanne
- Contrôler le tuyau d'air
- Changer l'électrovanne et / ou le tuyau si nécessaire</v>
      </c>
    </row>
    <row r="229" spans="1:8" ht="45" x14ac:dyDescent="0.25">
      <c r="A229" t="s">
        <v>659</v>
      </c>
      <c r="B229" t="s">
        <v>1143</v>
      </c>
      <c r="C229" t="s">
        <v>1144</v>
      </c>
      <c r="D229" t="s">
        <v>1145</v>
      </c>
      <c r="E229" t="s">
        <v>1146</v>
      </c>
      <c r="F229" s="3" t="str">
        <f>_xlfn.XLOOKUP("Explication_"&amp;B229,Feuil2!B:B,Feuil2!C:C,"Non trouvé")</f>
        <v>La machine estime qu'il y a au moins un poussin coincé quelque part, ce qui provoque des tas de poussins sur cette voie, sous l'analyse. Cela fausse donc les résultats.</v>
      </c>
      <c r="G229" t="str">
        <f>_xlfn.XLOOKUP("Cause_"&amp;B229,Feuil2!B:B,Feuil2!C:C,"Non trouvé")</f>
        <v>Un poussin est passé sous la bande du convoyeur ou est coincé sous une rive et provoque des tas de poussins.</v>
      </c>
      <c r="H229" t="str">
        <f>_xlfn.XLOOKUP("Solution_"&amp;B229,Feuil2!B:B,Feuil2!C:C,"Non trouvé")</f>
        <v>S'il y a un / des poussin(s) coincé(s), retirer-les.</v>
      </c>
    </row>
    <row r="230" spans="1:8" ht="30" x14ac:dyDescent="0.25">
      <c r="A230" t="s">
        <v>654</v>
      </c>
      <c r="B230" t="s">
        <v>1147</v>
      </c>
      <c r="C230" t="s">
        <v>1148</v>
      </c>
      <c r="D230" t="s">
        <v>1149</v>
      </c>
      <c r="E230" t="s">
        <v>1150</v>
      </c>
      <c r="F230" s="3" t="str">
        <f>_xlfn.XLOOKUP("Explication_"&amp;B230,Feuil2!B:B,Feuil2!C:C,"Non trouvé")</f>
        <v>Il n'y a pas de communication entre l'automate (PLC) et l'application informatique de cette voie.</v>
      </c>
      <c r="G230" t="str">
        <f>_xlfn.XLOOKUP("Cause_"&amp;B230,Feuil2!B:B,Feuil2!C:C,"Non trouvé")</f>
        <v>- Le PC est en défaut : freeze, écran bleu, pas d'alimentation, etc…
- Liaison Ethernet PC / PLC défaillante</v>
      </c>
      <c r="H230" t="str">
        <f>_xlfn.XLOOKUP("Solution_"&amp;B230,Feuil2!B:B,Feuil2!C:C,"Non trouvé")</f>
        <v>- Eteindre et rallumer la machine
- Vérifier les connexions Ethernet
- Si le problème persiste, contacter Ecat-iD</v>
      </c>
    </row>
    <row r="231" spans="1:8" x14ac:dyDescent="0.25">
      <c r="A231" t="s">
        <v>664</v>
      </c>
      <c r="B231" t="s">
        <v>1151</v>
      </c>
      <c r="C231" t="s">
        <v>1152</v>
      </c>
      <c r="D231" t="s">
        <v>1153</v>
      </c>
      <c r="E231" t="s">
        <v>1154</v>
      </c>
      <c r="F231" s="3" t="str">
        <f>_xlfn.XLOOKUP("Explication_"&amp;B231,Feuil2!B:B,Feuil2!C:C,"Non trouvé")</f>
        <v>Non trouvé</v>
      </c>
      <c r="G231" t="str">
        <f>_xlfn.XLOOKUP("Cause_"&amp;B231,Feuil2!B:B,Feuil2!C:C,"Non trouvé")</f>
        <v>Non trouvé</v>
      </c>
      <c r="H231" t="str">
        <f>_xlfn.XLOOKUP("Solution_"&amp;B231,Feuil2!B:B,Feuil2!C:C,"Non trouvé")</f>
        <v>Non trouvé</v>
      </c>
    </row>
    <row r="232" spans="1:8" x14ac:dyDescent="0.25">
      <c r="A232" t="s">
        <v>669</v>
      </c>
      <c r="B232" t="s">
        <v>1155</v>
      </c>
      <c r="C232" t="s">
        <v>1156</v>
      </c>
      <c r="D232" t="s">
        <v>1157</v>
      </c>
      <c r="E232" t="s">
        <v>1158</v>
      </c>
      <c r="F232" s="3" t="str">
        <f>_xlfn.XLOOKUP("Explication_"&amp;B232,Feuil2!B:B,Feuil2!C:C,"Non trouvé")</f>
        <v>Le PC ne reçoit pas les images</v>
      </c>
      <c r="G232" t="str">
        <f>_xlfn.XLOOKUP("Cause_"&amp;B232,Feuil2!B:B,Feuil2!C:C,"Non trouvé")</f>
        <v>- Perte de communication avec la caméra
- Caméra ou câble défectueux</v>
      </c>
      <c r="H232" t="str">
        <f>_xlfn.XLOOKUP("Solution_"&amp;B232,Feuil2!B:B,Feuil2!C:C,"Non trouvé")</f>
        <v>- Débrancher puis rebrancher les câbles USB des caméras, puis appuyer sur le bouton "INITIALISATION" sur l'IHM
- Si le problème persiste, redémarrer la machine
- Si le problème persiste encore, contacter Ecat-iD</v>
      </c>
    </row>
    <row r="233" spans="1:8" ht="30" x14ac:dyDescent="0.25">
      <c r="A233" t="s">
        <v>674</v>
      </c>
      <c r="B233" t="s">
        <v>1159</v>
      </c>
      <c r="C233" t="s">
        <v>1160</v>
      </c>
      <c r="D233" t="s">
        <v>1161</v>
      </c>
      <c r="E233" t="s">
        <v>1162</v>
      </c>
      <c r="F233" s="3" t="str">
        <f>_xlfn.XLOOKUP("Explication_"&amp;B233,Feuil2!B:B,Feuil2!C:C,"Non trouvé")</f>
        <v>La température d'au moins une des deux caméras de la voie est trop élevée. Les performances de la machine peuvent être diminuées.</v>
      </c>
      <c r="G233" t="str">
        <f>_xlfn.XLOOKUP("Cause_"&amp;B233,Feuil2!B:B,Feuil2!C:C,"Non trouvé")</f>
        <v>- Environnement trop chaud
- Mauvaise dissipation de la chaleur dans le caisson caméras</v>
      </c>
      <c r="H233" t="str">
        <f>_xlfn.XLOOKUP("Solution_"&amp;B233,Feuil2!B:B,Feuil2!C:C,"Non trouvé")</f>
        <v>- Contrôler le caisson caméras
- Essayer d'arrêter la machine pendant quelques minutes
- Si le problème persiste, contacter Ecat-iD</v>
      </c>
    </row>
    <row r="234" spans="1:8" x14ac:dyDescent="0.25">
      <c r="A234" t="s">
        <v>679</v>
      </c>
      <c r="B234" t="s">
        <v>1163</v>
      </c>
      <c r="C234" t="s">
        <v>1164</v>
      </c>
      <c r="D234" t="s">
        <v>1165</v>
      </c>
      <c r="E234" t="s">
        <v>1166</v>
      </c>
      <c r="F234" s="3" t="str">
        <f>_xlfn.XLOOKUP("Explication_"&amp;B234,Feuil2!B:B,Feuil2!C:C,"Non trouvé")</f>
        <v>Non trouvé</v>
      </c>
      <c r="G234" t="str">
        <f>_xlfn.XLOOKUP("Cause_"&amp;B234,Feuil2!B:B,Feuil2!C:C,"Non trouvé")</f>
        <v>Non trouvé</v>
      </c>
      <c r="H234" t="str">
        <f>_xlfn.XLOOKUP("Solution_"&amp;B234,Feuil2!B:B,Feuil2!C:C,"Non trouvé")</f>
        <v>Non trouvé</v>
      </c>
    </row>
    <row r="235" spans="1:8" x14ac:dyDescent="0.25">
      <c r="A235" t="s">
        <v>684</v>
      </c>
      <c r="B235" t="s">
        <v>1167</v>
      </c>
      <c r="C235" t="s">
        <v>1168</v>
      </c>
      <c r="D235" t="s">
        <v>1169</v>
      </c>
      <c r="E235" t="s">
        <v>1170</v>
      </c>
      <c r="F235" s="3" t="str">
        <f>_xlfn.XLOOKUP("Explication_"&amp;B235,Feuil2!B:B,Feuil2!C:C,"Non trouvé")</f>
        <v>Pas assez ou trop d'éclairage sur la voie</v>
      </c>
      <c r="G235" t="str">
        <f>_xlfn.XLOOKUP("Cause_"&amp;B235,Feuil2!B:B,Feuil2!C:C,"Non trouvé")</f>
        <v>- Mauvaise valeur sur le temps d'exposition des caméras.
- Problème de calibration sur les caméras.
- Salissure sur les caméras.
- Problème d'éclairage sur les barres de LED.
- Forte réflexion de lumière sur les rives.</v>
      </c>
      <c r="H235" t="str">
        <f>_xlfn.XLOOKUP("Solution_"&amp;B235,Feuil2!B:B,Feuil2!C:C,"Non trouvé")</f>
        <v>- Vérifier que les éclairages ne soient pas sales
- Vérifier que les éclairages s'allument autant (ni plus, ni moins) que les autres voies qui fonctionnent
- Vérifier qu'il n'y ai pas trop de réflexion de la lumière sur les rives des convoyeurs
- Contrôler le temps d'exposition des caméras (Ecat-iD)
- Refaire une calibration des caméras (Ecat-iD)</v>
      </c>
    </row>
    <row r="236" spans="1:8" ht="30" x14ac:dyDescent="0.25">
      <c r="A236" t="s">
        <v>689</v>
      </c>
      <c r="B236" t="s">
        <v>1171</v>
      </c>
      <c r="C236" t="s">
        <v>1172</v>
      </c>
      <c r="D236" t="s">
        <v>1173</v>
      </c>
      <c r="E236" t="s">
        <v>1174</v>
      </c>
      <c r="F236" s="3" t="str">
        <f>_xlfn.XLOOKUP("Explication_"&amp;B236,Feuil2!B:B,Feuil2!C:C,"Non trouvé")</f>
        <v>Sur plusieurs centaines de poussins d'affilés, il y a eu trop de poussins difficilement sexables</v>
      </c>
      <c r="G236" t="str">
        <f>_xlfn.XLOOKUP("Cause_"&amp;B236,Feuil2!B:B,Feuil2!C:C,"Non trouvé")</f>
        <v>- Poussins issus de parquet trop jeunes (&lt;30 semaines, c'est un problème connu)
- Problème optique ou des salissures sur les caméras.
- Les poussins n'ouvrent pas assez les ailes à cause d'un dysfonctionnement sur les systèmes d'oscillation
- Les poussins sont trop collés (cadence trop élevée ou mauvais répartition entre les voies)</v>
      </c>
      <c r="H236" t="str">
        <f>_xlfn.XLOOKUP("Solution_"&amp;B236,Feuil2!B:B,Feuil2!C:C,"Non trouvé")</f>
        <v>- Vérifier l'âge du parquet (normal si &lt; à 30 semaines)
- Contrôler les éclairages
- Contrôler les systèmes d'oscillation
- Faire attention à la répartition, la quantité, et le nombre de poussins sur la table de tri pour éviter d'avoir trop de poussins collés</v>
      </c>
    </row>
    <row r="237" spans="1:8" ht="30" x14ac:dyDescent="0.25">
      <c r="A237" t="s">
        <v>694</v>
      </c>
      <c r="B237" t="s">
        <v>1175</v>
      </c>
      <c r="C237" t="s">
        <v>1176</v>
      </c>
      <c r="D237" t="s">
        <v>1177</v>
      </c>
      <c r="E237" t="s">
        <v>1178</v>
      </c>
      <c r="F237" s="3" t="str">
        <f>_xlfn.XLOOKUP("Explication_"&amp;B237,Feuil2!B:B,Feuil2!C:C,"Non trouvé")</f>
        <v>Sur plusieurs centaines de poussins d'affilés, il y a eu trop de poussins collés</v>
      </c>
      <c r="G237" t="str">
        <f>_xlfn.XLOOKUP("Cause_"&amp;B237,Feuil2!B:B,Feuil2!C:C,"Non trouvé")</f>
        <v>- Poussins coincés
- Cadence trop élevée
- Mauvaise séparation sur la table de tri
- Problème sur les convoyeurs de séparation.</v>
      </c>
      <c r="H237" t="str">
        <f>_xlfn.XLOOKUP("Solution_"&amp;B237,Feuil2!B:B,Feuil2!C:C,"Non trouvé")</f>
        <v>- Réduire la cadence
- Vérifier la bonne répartition sur la ligne de tri
- Vérifier le bon fonctionnement du convoyeur séparateur</v>
      </c>
    </row>
    <row r="238" spans="1:8" x14ac:dyDescent="0.25">
      <c r="A238" t="s">
        <v>699</v>
      </c>
      <c r="B238" t="s">
        <v>1179</v>
      </c>
      <c r="C238" t="s">
        <v>1180</v>
      </c>
      <c r="D238" t="s">
        <v>1181</v>
      </c>
      <c r="E238" t="s">
        <v>1086</v>
      </c>
      <c r="F238" s="3" t="str">
        <f>_xlfn.XLOOKUP("Explication_"&amp;B238,Feuil2!B:B,Feuil2!C:C,"Non trouvé")</f>
        <v>Le disque dur SSD du PC est occupé à plus de 90% de sa capacité</v>
      </c>
      <c r="G238" t="str">
        <f>_xlfn.XLOOKUP("Cause_"&amp;B238,Feuil2!B:B,Feuil2!C:C,"Non trouvé")</f>
        <v>- Tests en cours avec la sauvegarde des images activée.
- Quelqu'un a oublié de désactiver la sauvegarde des images dans le fichier de configuration</v>
      </c>
      <c r="H238" t="str">
        <f>_xlfn.XLOOKUP("Solution_"&amp;B238,Feuil2!B:B,Feuil2!C:C,"Non trouvé")</f>
        <v>- Vérifier le fichier de config (Ecat-iD)
- Contacter Ecat-iD</v>
      </c>
    </row>
    <row r="239" spans="1:8" x14ac:dyDescent="0.25">
      <c r="A239" t="s">
        <v>1087</v>
      </c>
      <c r="B239" t="s">
        <v>1182</v>
      </c>
      <c r="C239" t="s">
        <v>1183</v>
      </c>
      <c r="D239" t="s">
        <v>1184</v>
      </c>
      <c r="E239" t="s">
        <v>1091</v>
      </c>
      <c r="F239" s="3" t="str">
        <f>_xlfn.XLOOKUP("Explication_"&amp;B239,Feuil2!B:B,Feuil2!C:C,"Non trouvé")</f>
        <v>Non trouvé</v>
      </c>
      <c r="G239" t="str">
        <f>_xlfn.XLOOKUP("Cause_"&amp;B239,Feuil2!B:B,Feuil2!C:C,"Non trouvé")</f>
        <v>Non trouvé</v>
      </c>
      <c r="H239" t="str">
        <f>_xlfn.XLOOKUP("Solution_"&amp;B239,Feuil2!B:B,Feuil2!C:C,"Non trouvé")</f>
        <v>Non trouvé</v>
      </c>
    </row>
    <row r="240" spans="1:8" x14ac:dyDescent="0.25">
      <c r="A240" t="s">
        <v>709</v>
      </c>
      <c r="B240" t="s">
        <v>1185</v>
      </c>
      <c r="C240" t="s">
        <v>1186</v>
      </c>
      <c r="D240" t="s">
        <v>1187</v>
      </c>
      <c r="E240" t="s">
        <v>1107</v>
      </c>
      <c r="F240" s="3" t="str">
        <f>_xlfn.XLOOKUP("Explication_"&amp;B240,Feuil2!B:B,Feuil2!C:C,"Non trouvé")</f>
        <v>Non trouvé</v>
      </c>
      <c r="G240" t="str">
        <f>_xlfn.XLOOKUP("Cause_"&amp;B240,Feuil2!B:B,Feuil2!C:C,"Non trouvé")</f>
        <v>Non trouvé</v>
      </c>
      <c r="H240" t="str">
        <f>_xlfn.XLOOKUP("Solution_"&amp;B240,Feuil2!B:B,Feuil2!C:C,"Non trouvé")</f>
        <v>Non trouvé</v>
      </c>
    </row>
    <row r="241" spans="1:8" x14ac:dyDescent="0.25">
      <c r="A241" t="s">
        <v>714</v>
      </c>
      <c r="B241" t="s">
        <v>1188</v>
      </c>
      <c r="C241" t="s">
        <v>1189</v>
      </c>
      <c r="D241" t="s">
        <v>1190</v>
      </c>
      <c r="E241" t="s">
        <v>1099</v>
      </c>
      <c r="F241" s="3" t="str">
        <f>_xlfn.XLOOKUP("Explication_"&amp;B241,Feuil2!B:B,Feuil2!C:C,"Non trouvé")</f>
        <v>Non trouvé</v>
      </c>
      <c r="G241" t="str">
        <f>_xlfn.XLOOKUP("Cause_"&amp;B241,Feuil2!B:B,Feuil2!C:C,"Non trouvé")</f>
        <v>Non trouvé</v>
      </c>
      <c r="H241" t="str">
        <f>_xlfn.XLOOKUP("Solution_"&amp;B241,Feuil2!B:B,Feuil2!C:C,"Non trouvé")</f>
        <v>Non trouvé</v>
      </c>
    </row>
    <row r="242" spans="1:8" x14ac:dyDescent="0.25">
      <c r="A242" t="s">
        <v>719</v>
      </c>
      <c r="B242" t="s">
        <v>1191</v>
      </c>
      <c r="C242" t="s">
        <v>1192</v>
      </c>
      <c r="D242" t="s">
        <v>1193</v>
      </c>
      <c r="E242" t="s">
        <v>1103</v>
      </c>
      <c r="F242" s="3" t="str">
        <f>_xlfn.XLOOKUP("Explication_"&amp;B242,Feuil2!B:B,Feuil2!C:C,"Non trouvé")</f>
        <v>La mémoire RAM du est surchargé à plus de 90% de sa capacité</v>
      </c>
      <c r="G242" t="str">
        <f>_xlfn.XLOOKUP("Cause_"&amp;B242,Feuil2!B:B,Feuil2!C:C,"Non trouvé")</f>
        <v>- Tests en cours avec la sauvegarde des images activée.
- Quelqu'un a cliqué dans la console de l'application (= freeze de l'application)
- Quelqu'un a oublié de désactiver la sauvegarde des images dans le fichier de configuration</v>
      </c>
      <c r="H242" t="str">
        <f>_xlfn.XLOOKUP("Solution_"&amp;B242,Feuil2!B:B,Feuil2!C:C,"Non trouvé")</f>
        <v>- Vérifier le fichier de config (Ecat-iD)
- Contacter Ecat-iD</v>
      </c>
    </row>
    <row r="243" spans="1:8" x14ac:dyDescent="0.25">
      <c r="A243" t="s">
        <v>724</v>
      </c>
      <c r="B243" t="s">
        <v>1194</v>
      </c>
      <c r="C243" t="s">
        <v>1195</v>
      </c>
      <c r="D243" t="s">
        <v>1196</v>
      </c>
      <c r="E243" t="s">
        <v>1107</v>
      </c>
      <c r="F243" s="3" t="str">
        <f>_xlfn.XLOOKUP("Explication_"&amp;B243,Feuil2!B:B,Feuil2!C:C,"Non trouvé")</f>
        <v>Non trouvé</v>
      </c>
      <c r="G243" t="str">
        <f>_xlfn.XLOOKUP("Cause_"&amp;B243,Feuil2!B:B,Feuil2!C:C,"Non trouvé")</f>
        <v>Non trouvé</v>
      </c>
      <c r="H243" t="str">
        <f>_xlfn.XLOOKUP("Solution_"&amp;B243,Feuil2!B:B,Feuil2!C:C,"Non trouvé")</f>
        <v>Non trouvé</v>
      </c>
    </row>
    <row r="244" spans="1:8" x14ac:dyDescent="0.25">
      <c r="A244" t="s">
        <v>729</v>
      </c>
      <c r="B244" t="s">
        <v>1197</v>
      </c>
      <c r="C244" t="s">
        <v>1198</v>
      </c>
      <c r="D244" t="s">
        <v>1199</v>
      </c>
      <c r="E244" t="s">
        <v>1111</v>
      </c>
      <c r="F244" s="3" t="str">
        <f>_xlfn.XLOOKUP("Explication_"&amp;B244,Feuil2!B:B,Feuil2!C:C,"Non trouvé")</f>
        <v>La CPU du PC est surchargé à plus de 95% de sa capacité</v>
      </c>
      <c r="G244" t="str">
        <f>_xlfn.XLOOKUP("Cause_"&amp;B244,Feuil2!B:B,Feuil2!C:C,"Non trouvé")</f>
        <v>Quelque chose occupe les ressources du PC (OS, driver, programme, etc…)</v>
      </c>
      <c r="H244" t="str">
        <f>_xlfn.XLOOKUP("Solution_"&amp;B244,Feuil2!B:B,Feuil2!C:C,"Non trouvé")</f>
        <v>- Redémarrer le PC
- Si le problème persiste, contacter Ecat-iD</v>
      </c>
    </row>
    <row r="245" spans="1:8" ht="45" x14ac:dyDescent="0.25">
      <c r="A245" t="s">
        <v>734</v>
      </c>
      <c r="B245" t="s">
        <v>1200</v>
      </c>
      <c r="C245" t="s">
        <v>1201</v>
      </c>
      <c r="D245" t="s">
        <v>1202</v>
      </c>
      <c r="E245" t="s">
        <v>1203</v>
      </c>
      <c r="F245" s="3" t="str">
        <f>_xlfn.XLOOKUP("Explication_"&amp;B245,Feuil2!B:B,Feuil2!C:C,"Non trouvé")</f>
        <v>Le débit d'air mesuré par le capteur de débit a été hors plage de fonctionnement pendant un certain nombre de fois. Ces codes sont pour l'aiguillage vers la voie intérieure.</v>
      </c>
      <c r="G245" t="str">
        <f>_xlfn.XLOOKUP("Cause_"&amp;B245,Feuil2!B:B,Feuil2!C:C,"Non trouvé")</f>
        <v>- Niveau d'air trop faible ou trop élevé
- Electrovanne bouchée ou colmatée
- Tuyau endommagé (plié, bouché, percé, etc…)</v>
      </c>
      <c r="H245" t="str">
        <f>_xlfn.XLOOKUP("Solution_"&amp;B245,Feuil2!B:B,Feuil2!C:C,"Non trouvé")</f>
        <v>- Contrôler le niveau d'air
- Contrôler l'électrovanne
- Contrôler le tuyau d'air
- Changer l'électrovanne et / ou le tuyau si nécessaire</v>
      </c>
    </row>
    <row r="246" spans="1:8" ht="45" x14ac:dyDescent="0.25">
      <c r="A246" t="s">
        <v>739</v>
      </c>
      <c r="B246" t="s">
        <v>1204</v>
      </c>
      <c r="C246" t="s">
        <v>1205</v>
      </c>
      <c r="D246" t="s">
        <v>1206</v>
      </c>
      <c r="E246" t="s">
        <v>1207</v>
      </c>
      <c r="F246" s="3" t="str">
        <f>_xlfn.XLOOKUP("Explication_"&amp;B246,Feuil2!B:B,Feuil2!C:C,"Non trouvé")</f>
        <v>Le débit d'air mesuré par le capteur de débit a été hors plage de fonctionnement pendant un certain nombre de fois. Ces codes sont pour l'aiguillage vers la voie intérieure.</v>
      </c>
      <c r="G246" t="str">
        <f>_xlfn.XLOOKUP("Cause_"&amp;B246,Feuil2!B:B,Feuil2!C:C,"Non trouvé")</f>
        <v>- Niveau d'air trop faible ou trop élevé
- Electrovanne bouchée ou colmatée
- Tuyau endommagé (plié, bouché, percé, etc…)</v>
      </c>
      <c r="H246" t="str">
        <f>_xlfn.XLOOKUP("Solution_"&amp;B246,Feuil2!B:B,Feuil2!C:C,"Non trouvé")</f>
        <v>- Contrôler le niveau d'air
- Contrôler l'électrovanne
- Contrôler le tuyau d'air
- Changer l'électrovanne et / ou le tuyau si nécessaire</v>
      </c>
    </row>
    <row r="247" spans="1:8" x14ac:dyDescent="0.25">
      <c r="A247" t="s">
        <v>1208</v>
      </c>
      <c r="B247" t="s">
        <v>1209</v>
      </c>
      <c r="C247" t="s">
        <v>1210</v>
      </c>
      <c r="D247" t="s">
        <v>1211</v>
      </c>
      <c r="E247" t="s">
        <v>1212</v>
      </c>
      <c r="F247" s="3" t="str">
        <f>_xlfn.XLOOKUP("Explication_"&amp;B247,Feuil2!B:B,Feuil2!C:C,"Non trouvé")</f>
        <v>Non trouvé</v>
      </c>
      <c r="G247" t="str">
        <f>_xlfn.XLOOKUP("Cause_"&amp;B247,Feuil2!B:B,Feuil2!C:C,"Non trouvé")</f>
        <v>Non trouvé</v>
      </c>
      <c r="H247" t="str">
        <f>_xlfn.XLOOKUP("Solution_"&amp;B247,Feuil2!B:B,Feuil2!C:C,"Non trouvé")</f>
        <v>Non trouvé</v>
      </c>
    </row>
    <row r="248" spans="1:8" x14ac:dyDescent="0.25">
      <c r="A248" t="s">
        <v>749</v>
      </c>
      <c r="B248" t="s">
        <v>1213</v>
      </c>
      <c r="C248" t="s">
        <v>1214</v>
      </c>
      <c r="D248" t="s">
        <v>1215</v>
      </c>
      <c r="E248" t="s">
        <v>1216</v>
      </c>
      <c r="F248" s="3" t="str">
        <f>_xlfn.XLOOKUP("Explication_"&amp;B248,Feuil2!B:B,Feuil2!C:C,"Non trouvé")</f>
        <v>L'automate ne communique pas avec le capteur</v>
      </c>
      <c r="G248" t="str">
        <f>_xlfn.XLOOKUP("Cause_"&amp;B248,Feuil2!B:B,Feuil2!C:C,"Non trouvé")</f>
        <v>- Capteur défectueux
- Câble défectueux</v>
      </c>
      <c r="H248" t="str">
        <f>_xlfn.XLOOKUP("Solution_"&amp;B248,Feuil2!B:B,Feuil2!C:C,"Non trouvé")</f>
        <v>- Vérifier l'état du capteur et son câble et changer ce qui doit l'être
- Si le problème persiste, contacter Ecat-iD</v>
      </c>
    </row>
    <row r="249" spans="1:8" ht="30" x14ac:dyDescent="0.25">
      <c r="A249" t="s">
        <v>754</v>
      </c>
      <c r="B249" t="s">
        <v>1217</v>
      </c>
      <c r="C249" t="s">
        <v>1218</v>
      </c>
      <c r="D249" t="s">
        <v>1219</v>
      </c>
      <c r="E249" t="s">
        <v>1220</v>
      </c>
      <c r="F249" s="3" t="str">
        <f>_xlfn.XLOOKUP("Explication_"&amp;B249,Feuil2!B:B,Feuil2!C:C,"Non trouvé")</f>
        <v>Il y a un problème (matériel ou logiciel) sur la carte graphique du PC, qui ne peut donc pas analyser les images</v>
      </c>
      <c r="G249" t="str">
        <f>_xlfn.XLOOKUP("Cause_"&amp;B249,Feuil2!B:B,Feuil2!C:C,"Non trouvé")</f>
        <v>- Problème matériel
- Problème logiciel</v>
      </c>
      <c r="H249" t="str">
        <f>_xlfn.XLOOKUP("Solution_"&amp;B249,Feuil2!B:B,Feuil2!C:C,"Non trouvé")</f>
        <v>- Redémarrer la machine
- Si le problème persiste, contacter Ecat-iD</v>
      </c>
    </row>
    <row r="250" spans="1:8" x14ac:dyDescent="0.25">
      <c r="A250" t="s">
        <v>759</v>
      </c>
      <c r="B250" t="s">
        <v>1221</v>
      </c>
      <c r="C250" t="s">
        <v>1222</v>
      </c>
      <c r="D250" t="s">
        <v>1223</v>
      </c>
      <c r="E250" t="s">
        <v>1224</v>
      </c>
      <c r="F250" s="3" t="str">
        <f>_xlfn.XLOOKUP("Explication_"&amp;B250,Feuil2!B:B,Feuil2!C:C,"Non trouvé")</f>
        <v>L'application n'arrive pas à démarrer correctement</v>
      </c>
      <c r="G250" t="str">
        <f>_xlfn.XLOOKUP("Cause_"&amp;B250,Feuil2!B:B,Feuil2!C:C,"Non trouvé")</f>
        <v>L'application a du mal à initialiser un de ses modules : carte PCI, caméras, carte graphique, etc…</v>
      </c>
      <c r="H250" t="str">
        <f>_xlfn.XLOOKUP("Solution_"&amp;B250,Feuil2!B:B,Feuil2!C:C,"Non trouvé")</f>
        <v>- Redémarrer la machine
- Si le problème persiste, contacter Ecat-iD</v>
      </c>
    </row>
    <row r="251" spans="1:8" ht="45" x14ac:dyDescent="0.25">
      <c r="A251" t="s">
        <v>764</v>
      </c>
      <c r="B251" t="s">
        <v>1225</v>
      </c>
      <c r="C251" t="s">
        <v>1226</v>
      </c>
      <c r="D251" t="s">
        <v>1227</v>
      </c>
      <c r="E251" t="s">
        <v>1203</v>
      </c>
      <c r="F251" s="3" t="str">
        <f>_xlfn.XLOOKUP("Explication_"&amp;B251,Feuil2!B:B,Feuil2!C:C,"Non trouvé")</f>
        <v>Le débit d'air mesuré par le capteur de débit a été hors plage de fonctionnement pendant un certain nombre de fois. Ces codes sont pour l'aiguillage vers la voie extérieure.</v>
      </c>
      <c r="G251" t="str">
        <f>_xlfn.XLOOKUP("Cause_"&amp;B251,Feuil2!B:B,Feuil2!C:C,"Non trouvé")</f>
        <v>- Niveau d'air trop faible ou trop élevé
- Electrovanne bouchée ou colmatée
- Tuyau endommagé (plié, bouché, percé, etc…)</v>
      </c>
      <c r="H251" t="str">
        <f>_xlfn.XLOOKUP("Solution_"&amp;B251,Feuil2!B:B,Feuil2!C:C,"Non trouvé")</f>
        <v>- Contrôler le niveau d'air
- Contrôler l'électrovanne
- Contrôler le tuyau d'air
- Changer l'électrovanne et / ou le tuyau si nécessaire</v>
      </c>
    </row>
    <row r="252" spans="1:8" ht="45" x14ac:dyDescent="0.25">
      <c r="A252" t="s">
        <v>768</v>
      </c>
      <c r="B252" t="s">
        <v>1228</v>
      </c>
      <c r="C252" t="s">
        <v>1229</v>
      </c>
      <c r="D252" t="s">
        <v>1230</v>
      </c>
      <c r="E252" t="s">
        <v>1207</v>
      </c>
      <c r="F252" s="3" t="str">
        <f>_xlfn.XLOOKUP("Explication_"&amp;B252,Feuil2!B:B,Feuil2!C:C,"Non trouvé")</f>
        <v>Le débit d'air mesuré par le capteur de débit a été hors plage de fonctionnement pendant un certain nombre de fois. Ces codes sont pour l'aiguillage vers la voie extérieure.</v>
      </c>
      <c r="G252" t="str">
        <f>_xlfn.XLOOKUP("Cause_"&amp;B252,Feuil2!B:B,Feuil2!C:C,"Non trouvé")</f>
        <v>- Niveau d'air trop faible ou trop élevé
- Electrovanne bouchée ou colmatée
- Tuyau endommagé (plié, bouché, percé, etc…)</v>
      </c>
      <c r="H252" t="str">
        <f>_xlfn.XLOOKUP("Solution_"&amp;B252,Feuil2!B:B,Feuil2!C:C,"Non trouvé")</f>
        <v>- Contrôler le niveau d'air
- Contrôler l'électrovanne
- Contrôler le tuyau d'air
- Changer l'électrovanne et / ou le tuyau si nécessaire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DD4A-69D1-4027-A523-23F46D42D1FD}">
  <dimension ref="A1:C632"/>
  <sheetViews>
    <sheetView topLeftCell="A545" workbookViewId="0"/>
  </sheetViews>
  <sheetFormatPr baseColWidth="10" defaultColWidth="9.140625" defaultRowHeight="15" x14ac:dyDescent="0.25"/>
  <cols>
    <col min="1" max="1" width="20.28515625" customWidth="1"/>
    <col min="2" max="2" width="47.7109375" customWidth="1"/>
    <col min="3" max="3" width="68.5703125" customWidth="1"/>
  </cols>
  <sheetData>
    <row r="1" spans="1:3" x14ac:dyDescent="0.25">
      <c r="A1" s="23" t="s">
        <v>1231</v>
      </c>
      <c r="B1" s="23"/>
      <c r="C1" s="23"/>
    </row>
    <row r="2" spans="1:3" x14ac:dyDescent="0.25">
      <c r="A2" s="19" t="s">
        <v>1232</v>
      </c>
      <c r="B2" s="19" t="s">
        <v>1233</v>
      </c>
      <c r="C2" s="19" t="s">
        <v>1234</v>
      </c>
    </row>
    <row r="3" spans="1:3" x14ac:dyDescent="0.25">
      <c r="A3" s="20" t="s">
        <v>1235</v>
      </c>
      <c r="B3" s="20" t="s">
        <v>1236</v>
      </c>
      <c r="C3" s="20" t="s">
        <v>1237</v>
      </c>
    </row>
    <row r="4" spans="1:3" ht="30" x14ac:dyDescent="0.25">
      <c r="A4" s="20" t="s">
        <v>1235</v>
      </c>
      <c r="B4" s="20" t="s">
        <v>1238</v>
      </c>
      <c r="C4" s="20" t="s">
        <v>1239</v>
      </c>
    </row>
    <row r="5" spans="1:3" ht="30" x14ac:dyDescent="0.25">
      <c r="A5" s="20" t="s">
        <v>1235</v>
      </c>
      <c r="B5" s="20" t="s">
        <v>1240</v>
      </c>
      <c r="C5" s="20" t="s">
        <v>1241</v>
      </c>
    </row>
    <row r="6" spans="1:3" x14ac:dyDescent="0.25">
      <c r="A6" s="20" t="s">
        <v>1235</v>
      </c>
      <c r="B6" s="20" t="s">
        <v>1242</v>
      </c>
      <c r="C6" s="20" t="s">
        <v>1243</v>
      </c>
    </row>
    <row r="7" spans="1:3" ht="30" x14ac:dyDescent="0.25">
      <c r="A7" s="20" t="s">
        <v>1235</v>
      </c>
      <c r="B7" s="20" t="s">
        <v>1244</v>
      </c>
      <c r="C7" s="20" t="s">
        <v>1245</v>
      </c>
    </row>
    <row r="8" spans="1:3" ht="30" x14ac:dyDescent="0.25">
      <c r="A8" s="20" t="s">
        <v>1235</v>
      </c>
      <c r="B8" s="20" t="s">
        <v>1246</v>
      </c>
      <c r="C8" s="20" t="s">
        <v>1247</v>
      </c>
    </row>
    <row r="9" spans="1:3" ht="30" x14ac:dyDescent="0.25">
      <c r="A9" s="20" t="s">
        <v>1235</v>
      </c>
      <c r="B9" s="20" t="s">
        <v>1248</v>
      </c>
      <c r="C9" s="20" t="s">
        <v>1249</v>
      </c>
    </row>
    <row r="10" spans="1:3" ht="30" x14ac:dyDescent="0.25">
      <c r="A10" s="20" t="s">
        <v>1235</v>
      </c>
      <c r="B10" s="20" t="s">
        <v>1250</v>
      </c>
      <c r="C10" s="20" t="s">
        <v>1251</v>
      </c>
    </row>
    <row r="11" spans="1:3" ht="30" x14ac:dyDescent="0.25">
      <c r="A11" s="20" t="s">
        <v>1235</v>
      </c>
      <c r="B11" s="20" t="s">
        <v>1252</v>
      </c>
      <c r="C11" s="20" t="s">
        <v>1251</v>
      </c>
    </row>
    <row r="12" spans="1:3" ht="30" x14ac:dyDescent="0.25">
      <c r="A12" s="20" t="s">
        <v>1235</v>
      </c>
      <c r="B12" s="20" t="s">
        <v>1253</v>
      </c>
      <c r="C12" s="20" t="s">
        <v>1251</v>
      </c>
    </row>
    <row r="13" spans="1:3" ht="30" x14ac:dyDescent="0.25">
      <c r="A13" s="20" t="s">
        <v>1235</v>
      </c>
      <c r="B13" s="20" t="s">
        <v>1254</v>
      </c>
      <c r="C13" s="20" t="s">
        <v>1251</v>
      </c>
    </row>
    <row r="14" spans="1:3" ht="30" x14ac:dyDescent="0.25">
      <c r="A14" s="20" t="s">
        <v>1235</v>
      </c>
      <c r="B14" s="20" t="s">
        <v>1255</v>
      </c>
      <c r="C14" s="20" t="s">
        <v>1251</v>
      </c>
    </row>
    <row r="15" spans="1:3" ht="30" x14ac:dyDescent="0.25">
      <c r="A15" s="20" t="s">
        <v>1235</v>
      </c>
      <c r="B15" s="20" t="s">
        <v>1256</v>
      </c>
      <c r="C15" s="20" t="s">
        <v>1251</v>
      </c>
    </row>
    <row r="16" spans="1:3" ht="30" x14ac:dyDescent="0.25">
      <c r="A16" s="20" t="s">
        <v>1235</v>
      </c>
      <c r="B16" s="20" t="s">
        <v>1257</v>
      </c>
      <c r="C16" s="20" t="s">
        <v>1251</v>
      </c>
    </row>
    <row r="17" spans="1:3" ht="30" x14ac:dyDescent="0.25">
      <c r="A17" s="20" t="s">
        <v>1235</v>
      </c>
      <c r="B17" s="20" t="s">
        <v>1258</v>
      </c>
      <c r="C17" s="20" t="s">
        <v>1251</v>
      </c>
    </row>
    <row r="18" spans="1:3" ht="30" x14ac:dyDescent="0.25">
      <c r="A18" s="20" t="s">
        <v>1235</v>
      </c>
      <c r="B18" s="20" t="s">
        <v>1259</v>
      </c>
      <c r="C18" s="20" t="s">
        <v>1251</v>
      </c>
    </row>
    <row r="19" spans="1:3" ht="30" x14ac:dyDescent="0.25">
      <c r="A19" s="20" t="s">
        <v>1235</v>
      </c>
      <c r="B19" s="20" t="s">
        <v>1260</v>
      </c>
      <c r="C19" s="20" t="s">
        <v>1251</v>
      </c>
    </row>
    <row r="20" spans="1:3" ht="45" x14ac:dyDescent="0.25">
      <c r="A20" s="20" t="s">
        <v>1235</v>
      </c>
      <c r="B20" s="20" t="s">
        <v>1261</v>
      </c>
      <c r="C20" s="20" t="s">
        <v>1262</v>
      </c>
    </row>
    <row r="21" spans="1:3" ht="45" x14ac:dyDescent="0.25">
      <c r="A21" s="20" t="s">
        <v>1235</v>
      </c>
      <c r="B21" s="20" t="s">
        <v>1263</v>
      </c>
      <c r="C21" s="20" t="s">
        <v>1264</v>
      </c>
    </row>
    <row r="22" spans="1:3" ht="30" x14ac:dyDescent="0.25">
      <c r="A22" s="20" t="s">
        <v>1235</v>
      </c>
      <c r="B22" s="20" t="s">
        <v>1265</v>
      </c>
      <c r="C22" s="20" t="s">
        <v>1251</v>
      </c>
    </row>
    <row r="23" spans="1:3" ht="30" x14ac:dyDescent="0.25">
      <c r="A23" s="20" t="s">
        <v>1235</v>
      </c>
      <c r="B23" s="20" t="s">
        <v>1266</v>
      </c>
      <c r="C23" s="20" t="s">
        <v>1251</v>
      </c>
    </row>
    <row r="24" spans="1:3" ht="30" x14ac:dyDescent="0.25">
      <c r="A24" s="20" t="s">
        <v>1235</v>
      </c>
      <c r="B24" s="20" t="s">
        <v>1267</v>
      </c>
      <c r="C24" s="20" t="s">
        <v>1251</v>
      </c>
    </row>
    <row r="25" spans="1:3" ht="30" x14ac:dyDescent="0.25">
      <c r="A25" s="20" t="s">
        <v>1235</v>
      </c>
      <c r="B25" s="20" t="s">
        <v>1268</v>
      </c>
      <c r="C25" s="20" t="s">
        <v>1251</v>
      </c>
    </row>
    <row r="26" spans="1:3" ht="30" x14ac:dyDescent="0.25">
      <c r="A26" s="20" t="s">
        <v>1235</v>
      </c>
      <c r="B26" s="20" t="s">
        <v>1269</v>
      </c>
      <c r="C26" s="20" t="s">
        <v>1251</v>
      </c>
    </row>
    <row r="27" spans="1:3" ht="30" x14ac:dyDescent="0.25">
      <c r="A27" s="20" t="s">
        <v>1235</v>
      </c>
      <c r="B27" s="20" t="s">
        <v>1270</v>
      </c>
      <c r="C27" s="20" t="s">
        <v>1251</v>
      </c>
    </row>
    <row r="28" spans="1:3" ht="30" x14ac:dyDescent="0.25">
      <c r="A28" s="20" t="s">
        <v>1235</v>
      </c>
      <c r="B28" s="20" t="s">
        <v>1271</v>
      </c>
      <c r="C28" s="20" t="s">
        <v>1251</v>
      </c>
    </row>
    <row r="29" spans="1:3" ht="30" x14ac:dyDescent="0.25">
      <c r="A29" s="20" t="s">
        <v>1235</v>
      </c>
      <c r="B29" s="20" t="s">
        <v>1272</v>
      </c>
      <c r="C29" s="20" t="s">
        <v>1251</v>
      </c>
    </row>
    <row r="30" spans="1:3" x14ac:dyDescent="0.25">
      <c r="A30" s="20" t="s">
        <v>1235</v>
      </c>
      <c r="B30" s="20" t="s">
        <v>1273</v>
      </c>
      <c r="C30" s="20" t="s">
        <v>1274</v>
      </c>
    </row>
    <row r="31" spans="1:3" x14ac:dyDescent="0.25">
      <c r="A31" s="20" t="s">
        <v>1235</v>
      </c>
      <c r="B31" s="20" t="s">
        <v>1275</v>
      </c>
      <c r="C31" s="20" t="s">
        <v>1274</v>
      </c>
    </row>
    <row r="32" spans="1:3" x14ac:dyDescent="0.25">
      <c r="A32" s="20" t="s">
        <v>1235</v>
      </c>
      <c r="B32" s="20" t="s">
        <v>1276</v>
      </c>
      <c r="C32" s="20" t="s">
        <v>1274</v>
      </c>
    </row>
    <row r="33" spans="1:3" x14ac:dyDescent="0.25">
      <c r="A33" s="20" t="s">
        <v>1235</v>
      </c>
      <c r="B33" s="20" t="s">
        <v>1277</v>
      </c>
      <c r="C33" s="20" t="s">
        <v>1274</v>
      </c>
    </row>
    <row r="34" spans="1:3" x14ac:dyDescent="0.25">
      <c r="A34" s="20" t="s">
        <v>1235</v>
      </c>
      <c r="B34" s="20" t="s">
        <v>1278</v>
      </c>
      <c r="C34" s="20" t="s">
        <v>1274</v>
      </c>
    </row>
    <row r="35" spans="1:3" x14ac:dyDescent="0.25">
      <c r="A35" s="20" t="s">
        <v>1235</v>
      </c>
      <c r="B35" s="20" t="s">
        <v>1279</v>
      </c>
      <c r="C35" s="20" t="s">
        <v>1274</v>
      </c>
    </row>
    <row r="36" spans="1:3" x14ac:dyDescent="0.25">
      <c r="A36" s="20" t="s">
        <v>1235</v>
      </c>
      <c r="B36" s="20" t="s">
        <v>1280</v>
      </c>
      <c r="C36" s="20" t="s">
        <v>1274</v>
      </c>
    </row>
    <row r="37" spans="1:3" x14ac:dyDescent="0.25">
      <c r="A37" s="20" t="s">
        <v>1235</v>
      </c>
      <c r="B37" s="20" t="s">
        <v>1281</v>
      </c>
      <c r="C37" s="20" t="s">
        <v>1274</v>
      </c>
    </row>
    <row r="38" spans="1:3" x14ac:dyDescent="0.25">
      <c r="A38" s="20" t="s">
        <v>1235</v>
      </c>
      <c r="B38" s="20" t="s">
        <v>1282</v>
      </c>
      <c r="C38" s="20" t="s">
        <v>1274</v>
      </c>
    </row>
    <row r="39" spans="1:3" x14ac:dyDescent="0.25">
      <c r="A39" s="20" t="s">
        <v>1235</v>
      </c>
      <c r="B39" s="20" t="s">
        <v>1283</v>
      </c>
      <c r="C39" s="20" t="s">
        <v>1274</v>
      </c>
    </row>
    <row r="40" spans="1:3" x14ac:dyDescent="0.25">
      <c r="A40" s="20" t="s">
        <v>1235</v>
      </c>
      <c r="B40" s="20" t="s">
        <v>1284</v>
      </c>
      <c r="C40" s="20" t="s">
        <v>1274</v>
      </c>
    </row>
    <row r="41" spans="1:3" ht="30" x14ac:dyDescent="0.25">
      <c r="A41" s="20" t="s">
        <v>1235</v>
      </c>
      <c r="B41" s="20" t="s">
        <v>1285</v>
      </c>
      <c r="C41" s="20" t="s">
        <v>1286</v>
      </c>
    </row>
    <row r="42" spans="1:3" ht="45" x14ac:dyDescent="0.25">
      <c r="A42" s="20" t="s">
        <v>1235</v>
      </c>
      <c r="B42" s="20" t="s">
        <v>1287</v>
      </c>
      <c r="C42" s="20" t="s">
        <v>1288</v>
      </c>
    </row>
    <row r="43" spans="1:3" ht="30" x14ac:dyDescent="0.25">
      <c r="A43" s="20" t="s">
        <v>1235</v>
      </c>
      <c r="B43" s="20" t="s">
        <v>1289</v>
      </c>
      <c r="C43" s="20" t="s">
        <v>1286</v>
      </c>
    </row>
    <row r="44" spans="1:3" ht="45" x14ac:dyDescent="0.25">
      <c r="A44" s="20" t="s">
        <v>1235</v>
      </c>
      <c r="B44" s="20" t="s">
        <v>1290</v>
      </c>
      <c r="C44" s="20" t="s">
        <v>1288</v>
      </c>
    </row>
    <row r="45" spans="1:3" ht="30" x14ac:dyDescent="0.25">
      <c r="A45" s="20" t="s">
        <v>1235</v>
      </c>
      <c r="B45" s="20" t="s">
        <v>1291</v>
      </c>
      <c r="C45" s="20" t="s">
        <v>1286</v>
      </c>
    </row>
    <row r="46" spans="1:3" ht="45" x14ac:dyDescent="0.25">
      <c r="A46" s="20" t="s">
        <v>1235</v>
      </c>
      <c r="B46" s="20" t="s">
        <v>1292</v>
      </c>
      <c r="C46" s="20" t="s">
        <v>1288</v>
      </c>
    </row>
    <row r="47" spans="1:3" ht="30" x14ac:dyDescent="0.25">
      <c r="A47" s="20" t="s">
        <v>1235</v>
      </c>
      <c r="B47" s="20" t="s">
        <v>1293</v>
      </c>
      <c r="C47" s="20" t="s">
        <v>1286</v>
      </c>
    </row>
    <row r="48" spans="1:3" ht="45" x14ac:dyDescent="0.25">
      <c r="A48" s="20" t="s">
        <v>1235</v>
      </c>
      <c r="B48" s="20" t="s">
        <v>1294</v>
      </c>
      <c r="C48" s="20" t="s">
        <v>1288</v>
      </c>
    </row>
    <row r="49" spans="1:3" ht="30" x14ac:dyDescent="0.25">
      <c r="A49" s="20" t="s">
        <v>1235</v>
      </c>
      <c r="B49" s="20" t="s">
        <v>1295</v>
      </c>
      <c r="C49" s="20" t="s">
        <v>1286</v>
      </c>
    </row>
    <row r="50" spans="1:3" ht="45" x14ac:dyDescent="0.25">
      <c r="A50" s="20" t="s">
        <v>1235</v>
      </c>
      <c r="B50" s="20" t="s">
        <v>1296</v>
      </c>
      <c r="C50" s="20" t="s">
        <v>1288</v>
      </c>
    </row>
    <row r="51" spans="1:3" ht="30" x14ac:dyDescent="0.25">
      <c r="A51" s="20" t="s">
        <v>1235</v>
      </c>
      <c r="B51" s="20" t="s">
        <v>1297</v>
      </c>
      <c r="C51" s="20" t="s">
        <v>1286</v>
      </c>
    </row>
    <row r="52" spans="1:3" ht="45" x14ac:dyDescent="0.25">
      <c r="A52" s="20" t="s">
        <v>1235</v>
      </c>
      <c r="B52" s="20" t="s">
        <v>1298</v>
      </c>
      <c r="C52" s="20" t="s">
        <v>1288</v>
      </c>
    </row>
    <row r="53" spans="1:3" ht="30" x14ac:dyDescent="0.25">
      <c r="A53" s="20" t="s">
        <v>1235</v>
      </c>
      <c r="B53" s="20" t="s">
        <v>1299</v>
      </c>
      <c r="C53" s="20" t="s">
        <v>1286</v>
      </c>
    </row>
    <row r="54" spans="1:3" ht="45" x14ac:dyDescent="0.25">
      <c r="A54" s="20" t="s">
        <v>1235</v>
      </c>
      <c r="B54" s="20" t="s">
        <v>1300</v>
      </c>
      <c r="C54" s="20" t="s">
        <v>1288</v>
      </c>
    </row>
    <row r="55" spans="1:3" ht="30" x14ac:dyDescent="0.25">
      <c r="A55" s="20" t="s">
        <v>1235</v>
      </c>
      <c r="B55" s="20" t="s">
        <v>1301</v>
      </c>
      <c r="C55" s="20" t="s">
        <v>1302</v>
      </c>
    </row>
    <row r="56" spans="1:3" ht="30" x14ac:dyDescent="0.25">
      <c r="A56" s="20" t="s">
        <v>1235</v>
      </c>
      <c r="B56" s="20" t="s">
        <v>1303</v>
      </c>
      <c r="C56" s="20" t="s">
        <v>1304</v>
      </c>
    </row>
    <row r="57" spans="1:3" ht="30" x14ac:dyDescent="0.25">
      <c r="A57" s="20" t="s">
        <v>1235</v>
      </c>
      <c r="B57" s="20" t="s">
        <v>1305</v>
      </c>
      <c r="C57" s="20" t="s">
        <v>1306</v>
      </c>
    </row>
    <row r="58" spans="1:3" ht="75" x14ac:dyDescent="0.25">
      <c r="A58" s="20" t="s">
        <v>1235</v>
      </c>
      <c r="B58" s="20" t="s">
        <v>1307</v>
      </c>
      <c r="C58" s="20" t="s">
        <v>1308</v>
      </c>
    </row>
    <row r="59" spans="1:3" ht="30" x14ac:dyDescent="0.25">
      <c r="A59" s="20" t="s">
        <v>1235</v>
      </c>
      <c r="B59" s="20" t="s">
        <v>1309</v>
      </c>
      <c r="C59" s="20" t="s">
        <v>1310</v>
      </c>
    </row>
    <row r="60" spans="1:3" ht="30" x14ac:dyDescent="0.25">
      <c r="A60" s="20" t="s">
        <v>1235</v>
      </c>
      <c r="B60" s="20" t="s">
        <v>1311</v>
      </c>
      <c r="C60" s="20" t="s">
        <v>1312</v>
      </c>
    </row>
    <row r="61" spans="1:3" ht="30" x14ac:dyDescent="0.25">
      <c r="A61" s="20" t="s">
        <v>1235</v>
      </c>
      <c r="B61" s="20" t="s">
        <v>1313</v>
      </c>
      <c r="C61" s="20" t="s">
        <v>1310</v>
      </c>
    </row>
    <row r="62" spans="1:3" ht="30" x14ac:dyDescent="0.25">
      <c r="A62" s="20" t="s">
        <v>1235</v>
      </c>
      <c r="B62" s="20" t="s">
        <v>1314</v>
      </c>
      <c r="C62" s="20" t="s">
        <v>1312</v>
      </c>
    </row>
    <row r="63" spans="1:3" ht="30" x14ac:dyDescent="0.25">
      <c r="A63" s="20" t="s">
        <v>1235</v>
      </c>
      <c r="B63" s="20" t="s">
        <v>1315</v>
      </c>
      <c r="C63" s="20" t="s">
        <v>1316</v>
      </c>
    </row>
    <row r="64" spans="1:3" ht="30" x14ac:dyDescent="0.25">
      <c r="A64" s="20" t="s">
        <v>1235</v>
      </c>
      <c r="B64" s="20" t="s">
        <v>1317</v>
      </c>
      <c r="C64" s="20" t="s">
        <v>1318</v>
      </c>
    </row>
    <row r="65" spans="1:3" ht="30" x14ac:dyDescent="0.25">
      <c r="A65" s="20" t="s">
        <v>1235</v>
      </c>
      <c r="B65" s="20" t="s">
        <v>1319</v>
      </c>
      <c r="C65" s="20" t="s">
        <v>1320</v>
      </c>
    </row>
    <row r="66" spans="1:3" ht="30" x14ac:dyDescent="0.25">
      <c r="A66" s="20" t="s">
        <v>1235</v>
      </c>
      <c r="B66" s="20" t="s">
        <v>1321</v>
      </c>
      <c r="C66" s="20" t="s">
        <v>1318</v>
      </c>
    </row>
    <row r="67" spans="1:3" ht="30" x14ac:dyDescent="0.25">
      <c r="A67" s="20" t="s">
        <v>1235</v>
      </c>
      <c r="B67" s="20" t="s">
        <v>1322</v>
      </c>
      <c r="C67" s="20" t="s">
        <v>1318</v>
      </c>
    </row>
    <row r="68" spans="1:3" ht="30" x14ac:dyDescent="0.25">
      <c r="A68" s="20" t="s">
        <v>1235</v>
      </c>
      <c r="B68" s="20" t="s">
        <v>1323</v>
      </c>
      <c r="C68" s="20" t="s">
        <v>1286</v>
      </c>
    </row>
    <row r="69" spans="1:3" ht="45" x14ac:dyDescent="0.25">
      <c r="A69" s="20" t="s">
        <v>1235</v>
      </c>
      <c r="B69" s="20" t="s">
        <v>1324</v>
      </c>
      <c r="C69" s="20" t="s">
        <v>1288</v>
      </c>
    </row>
    <row r="70" spans="1:3" ht="45" x14ac:dyDescent="0.25">
      <c r="A70" s="20" t="s">
        <v>1235</v>
      </c>
      <c r="B70" s="20" t="s">
        <v>1325</v>
      </c>
      <c r="C70" s="20" t="s">
        <v>1326</v>
      </c>
    </row>
    <row r="71" spans="1:3" ht="45" x14ac:dyDescent="0.25">
      <c r="A71" s="20" t="s">
        <v>1235</v>
      </c>
      <c r="B71" s="20" t="s">
        <v>1327</v>
      </c>
      <c r="C71" s="20" t="s">
        <v>1326</v>
      </c>
    </row>
    <row r="72" spans="1:3" ht="45" x14ac:dyDescent="0.25">
      <c r="A72" s="20" t="s">
        <v>1235</v>
      </c>
      <c r="B72" s="20" t="s">
        <v>1328</v>
      </c>
      <c r="C72" s="20" t="s">
        <v>1326</v>
      </c>
    </row>
    <row r="73" spans="1:3" ht="30" x14ac:dyDescent="0.25">
      <c r="A73" s="20" t="s">
        <v>1235</v>
      </c>
      <c r="B73" s="20" t="s">
        <v>1329</v>
      </c>
      <c r="C73" s="20" t="s">
        <v>1286</v>
      </c>
    </row>
    <row r="74" spans="1:3" ht="45" x14ac:dyDescent="0.25">
      <c r="A74" s="20" t="s">
        <v>1235</v>
      </c>
      <c r="B74" s="20" t="s">
        <v>1330</v>
      </c>
      <c r="C74" s="20" t="s">
        <v>1288</v>
      </c>
    </row>
    <row r="75" spans="1:3" ht="30" x14ac:dyDescent="0.25">
      <c r="A75" s="20" t="s">
        <v>1235</v>
      </c>
      <c r="B75" s="20" t="s">
        <v>1331</v>
      </c>
      <c r="C75" s="20" t="s">
        <v>1286</v>
      </c>
    </row>
    <row r="76" spans="1:3" ht="45" x14ac:dyDescent="0.25">
      <c r="A76" s="20" t="s">
        <v>1235</v>
      </c>
      <c r="B76" s="20" t="s">
        <v>1332</v>
      </c>
      <c r="C76" s="20" t="s">
        <v>1288</v>
      </c>
    </row>
    <row r="77" spans="1:3" ht="30" x14ac:dyDescent="0.25">
      <c r="A77" s="20" t="s">
        <v>1235</v>
      </c>
      <c r="B77" s="20" t="s">
        <v>1333</v>
      </c>
      <c r="C77" s="20" t="s">
        <v>1286</v>
      </c>
    </row>
    <row r="78" spans="1:3" ht="45" x14ac:dyDescent="0.25">
      <c r="A78" s="20" t="s">
        <v>1235</v>
      </c>
      <c r="B78" s="20" t="s">
        <v>1334</v>
      </c>
      <c r="C78" s="20" t="s">
        <v>1288</v>
      </c>
    </row>
    <row r="79" spans="1:3" ht="30" x14ac:dyDescent="0.25">
      <c r="A79" s="20" t="s">
        <v>1235</v>
      </c>
      <c r="B79" s="20" t="s">
        <v>1335</v>
      </c>
      <c r="C79" s="20" t="s">
        <v>1310</v>
      </c>
    </row>
    <row r="80" spans="1:3" ht="30" x14ac:dyDescent="0.25">
      <c r="A80" s="20" t="s">
        <v>1235</v>
      </c>
      <c r="B80" s="20" t="s">
        <v>1336</v>
      </c>
      <c r="C80" s="20" t="s">
        <v>1312</v>
      </c>
    </row>
    <row r="81" spans="1:3" ht="30" x14ac:dyDescent="0.25">
      <c r="A81" s="20" t="s">
        <v>1235</v>
      </c>
      <c r="B81" s="20" t="s">
        <v>1337</v>
      </c>
      <c r="C81" s="20" t="s">
        <v>1286</v>
      </c>
    </row>
    <row r="82" spans="1:3" ht="45" x14ac:dyDescent="0.25">
      <c r="A82" s="20" t="s">
        <v>1235</v>
      </c>
      <c r="B82" s="20" t="s">
        <v>1338</v>
      </c>
      <c r="C82" s="20" t="s">
        <v>1288</v>
      </c>
    </row>
    <row r="83" spans="1:3" ht="30" x14ac:dyDescent="0.25">
      <c r="A83" s="20" t="s">
        <v>1235</v>
      </c>
      <c r="B83" s="20" t="s">
        <v>1339</v>
      </c>
      <c r="C83" s="20" t="s">
        <v>1286</v>
      </c>
    </row>
    <row r="84" spans="1:3" ht="45" x14ac:dyDescent="0.25">
      <c r="A84" s="20" t="s">
        <v>1235</v>
      </c>
      <c r="B84" s="20" t="s">
        <v>1340</v>
      </c>
      <c r="C84" s="20" t="s">
        <v>1288</v>
      </c>
    </row>
    <row r="85" spans="1:3" ht="30" x14ac:dyDescent="0.25">
      <c r="A85" s="20" t="s">
        <v>1235</v>
      </c>
      <c r="B85" s="20" t="s">
        <v>1341</v>
      </c>
      <c r="C85" s="20" t="s">
        <v>1286</v>
      </c>
    </row>
    <row r="86" spans="1:3" ht="45" x14ac:dyDescent="0.25">
      <c r="A86" s="20" t="s">
        <v>1235</v>
      </c>
      <c r="B86" s="20" t="s">
        <v>1342</v>
      </c>
      <c r="C86" s="20" t="s">
        <v>1288</v>
      </c>
    </row>
    <row r="87" spans="1:3" ht="30" x14ac:dyDescent="0.25">
      <c r="A87" s="20" t="s">
        <v>1235</v>
      </c>
      <c r="B87" s="20" t="s">
        <v>1343</v>
      </c>
      <c r="C87" s="20" t="s">
        <v>1286</v>
      </c>
    </row>
    <row r="88" spans="1:3" ht="45" x14ac:dyDescent="0.25">
      <c r="A88" s="20" t="s">
        <v>1235</v>
      </c>
      <c r="B88" s="20" t="s">
        <v>1344</v>
      </c>
      <c r="C88" s="20" t="s">
        <v>1288</v>
      </c>
    </row>
    <row r="89" spans="1:3" ht="30" x14ac:dyDescent="0.25">
      <c r="A89" s="20" t="s">
        <v>1235</v>
      </c>
      <c r="B89" s="20" t="s">
        <v>1345</v>
      </c>
      <c r="C89" s="20" t="s">
        <v>1346</v>
      </c>
    </row>
    <row r="90" spans="1:3" ht="30" x14ac:dyDescent="0.25">
      <c r="A90" s="20" t="s">
        <v>1235</v>
      </c>
      <c r="B90" s="20" t="s">
        <v>1347</v>
      </c>
      <c r="C90" s="20" t="s">
        <v>1346</v>
      </c>
    </row>
    <row r="91" spans="1:3" ht="30" x14ac:dyDescent="0.25">
      <c r="A91" s="20" t="s">
        <v>1235</v>
      </c>
      <c r="B91" s="20" t="s">
        <v>1348</v>
      </c>
      <c r="C91" s="20" t="s">
        <v>1346</v>
      </c>
    </row>
    <row r="92" spans="1:3" ht="30" x14ac:dyDescent="0.25">
      <c r="A92" s="20" t="s">
        <v>1235</v>
      </c>
      <c r="B92" s="20" t="s">
        <v>1349</v>
      </c>
      <c r="C92" s="20" t="s">
        <v>1346</v>
      </c>
    </row>
    <row r="93" spans="1:3" ht="30" x14ac:dyDescent="0.25">
      <c r="A93" s="20" t="s">
        <v>1235</v>
      </c>
      <c r="B93" s="20" t="s">
        <v>1350</v>
      </c>
      <c r="C93" s="20" t="s">
        <v>1346</v>
      </c>
    </row>
    <row r="94" spans="1:3" ht="30" x14ac:dyDescent="0.25">
      <c r="A94" s="20" t="s">
        <v>1235</v>
      </c>
      <c r="B94" s="20" t="s">
        <v>1351</v>
      </c>
      <c r="C94" s="20" t="s">
        <v>1346</v>
      </c>
    </row>
    <row r="95" spans="1:3" ht="30" x14ac:dyDescent="0.25">
      <c r="A95" s="20" t="s">
        <v>1235</v>
      </c>
      <c r="B95" s="20" t="s">
        <v>1352</v>
      </c>
      <c r="C95" s="20" t="s">
        <v>1353</v>
      </c>
    </row>
    <row r="96" spans="1:3" ht="45" x14ac:dyDescent="0.25">
      <c r="A96" s="20" t="s">
        <v>1235</v>
      </c>
      <c r="B96" s="20" t="s">
        <v>1354</v>
      </c>
      <c r="C96" s="20" t="s">
        <v>1355</v>
      </c>
    </row>
    <row r="97" spans="1:3" ht="30" x14ac:dyDescent="0.25">
      <c r="A97" s="20" t="s">
        <v>1235</v>
      </c>
      <c r="B97" s="20" t="s">
        <v>1356</v>
      </c>
      <c r="C97" s="20" t="s">
        <v>1357</v>
      </c>
    </row>
    <row r="98" spans="1:3" ht="30" x14ac:dyDescent="0.25">
      <c r="A98" s="20" t="s">
        <v>1235</v>
      </c>
      <c r="B98" s="20" t="s">
        <v>1358</v>
      </c>
      <c r="C98" s="20" t="s">
        <v>1357</v>
      </c>
    </row>
    <row r="99" spans="1:3" ht="30" x14ac:dyDescent="0.25">
      <c r="A99" s="20" t="s">
        <v>1235</v>
      </c>
      <c r="B99" s="20" t="s">
        <v>1359</v>
      </c>
      <c r="C99" s="20" t="s">
        <v>1360</v>
      </c>
    </row>
    <row r="100" spans="1:3" ht="30" x14ac:dyDescent="0.25">
      <c r="A100" s="20" t="s">
        <v>1235</v>
      </c>
      <c r="B100" s="20" t="s">
        <v>1361</v>
      </c>
      <c r="C100" s="20" t="s">
        <v>1286</v>
      </c>
    </row>
    <row r="101" spans="1:3" ht="45" x14ac:dyDescent="0.25">
      <c r="A101" s="20" t="s">
        <v>1235</v>
      </c>
      <c r="B101" s="20" t="s">
        <v>1362</v>
      </c>
      <c r="C101" s="20" t="s">
        <v>1288</v>
      </c>
    </row>
    <row r="102" spans="1:3" ht="60" x14ac:dyDescent="0.25">
      <c r="A102" s="20" t="s">
        <v>1235</v>
      </c>
      <c r="B102" s="20" t="s">
        <v>1363</v>
      </c>
      <c r="C102" s="20" t="s">
        <v>1364</v>
      </c>
    </row>
    <row r="103" spans="1:3" ht="60" x14ac:dyDescent="0.25">
      <c r="A103" s="20" t="s">
        <v>1235</v>
      </c>
      <c r="B103" s="20" t="s">
        <v>1365</v>
      </c>
      <c r="C103" s="20" t="s">
        <v>1364</v>
      </c>
    </row>
    <row r="104" spans="1:3" ht="60" x14ac:dyDescent="0.25">
      <c r="A104" s="20" t="s">
        <v>1235</v>
      </c>
      <c r="B104" s="20" t="s">
        <v>1366</v>
      </c>
      <c r="C104" s="20" t="s">
        <v>1364</v>
      </c>
    </row>
    <row r="105" spans="1:3" ht="30" x14ac:dyDescent="0.25">
      <c r="A105" s="20" t="s">
        <v>1235</v>
      </c>
      <c r="B105" s="20" t="s">
        <v>1367</v>
      </c>
      <c r="C105" s="20" t="s">
        <v>1368</v>
      </c>
    </row>
    <row r="106" spans="1:3" ht="45" x14ac:dyDescent="0.25">
      <c r="A106" s="20" t="s">
        <v>1235</v>
      </c>
      <c r="B106" s="20" t="s">
        <v>1369</v>
      </c>
      <c r="C106" s="20" t="s">
        <v>1370</v>
      </c>
    </row>
    <row r="107" spans="1:3" ht="30" x14ac:dyDescent="0.25">
      <c r="A107" s="20" t="s">
        <v>1235</v>
      </c>
      <c r="B107" s="20" t="s">
        <v>1371</v>
      </c>
      <c r="C107" s="20" t="s">
        <v>1372</v>
      </c>
    </row>
    <row r="108" spans="1:3" ht="30" x14ac:dyDescent="0.25">
      <c r="A108" s="20" t="s">
        <v>1235</v>
      </c>
      <c r="B108" s="20" t="s">
        <v>1373</v>
      </c>
      <c r="C108" s="20" t="s">
        <v>1374</v>
      </c>
    </row>
    <row r="109" spans="1:3" x14ac:dyDescent="0.25">
      <c r="A109" s="20" t="s">
        <v>1235</v>
      </c>
      <c r="B109" s="20" t="s">
        <v>1375</v>
      </c>
      <c r="C109" s="20" t="s">
        <v>1376</v>
      </c>
    </row>
    <row r="110" spans="1:3" ht="30" x14ac:dyDescent="0.25">
      <c r="A110" s="20" t="s">
        <v>1235</v>
      </c>
      <c r="B110" s="20" t="s">
        <v>1377</v>
      </c>
      <c r="C110" s="20" t="s">
        <v>1378</v>
      </c>
    </row>
    <row r="111" spans="1:3" ht="30" x14ac:dyDescent="0.25">
      <c r="A111" s="20" t="s">
        <v>1235</v>
      </c>
      <c r="B111" s="20" t="s">
        <v>1379</v>
      </c>
      <c r="C111" s="20" t="s">
        <v>1380</v>
      </c>
    </row>
    <row r="112" spans="1:3" x14ac:dyDescent="0.25">
      <c r="A112" s="20" t="s">
        <v>1235</v>
      </c>
      <c r="B112" s="20" t="s">
        <v>1381</v>
      </c>
      <c r="C112" s="20" t="s">
        <v>1382</v>
      </c>
    </row>
    <row r="113" spans="1:3" x14ac:dyDescent="0.25">
      <c r="A113" s="20" t="s">
        <v>1235</v>
      </c>
      <c r="B113" s="20" t="s">
        <v>1383</v>
      </c>
      <c r="C113" s="20" t="s">
        <v>1384</v>
      </c>
    </row>
    <row r="114" spans="1:3" x14ac:dyDescent="0.25">
      <c r="A114" s="20" t="s">
        <v>1235</v>
      </c>
      <c r="B114" s="20" t="s">
        <v>1385</v>
      </c>
      <c r="C114" s="20" t="s">
        <v>1386</v>
      </c>
    </row>
    <row r="115" spans="1:3" ht="45" x14ac:dyDescent="0.25">
      <c r="A115" s="20" t="s">
        <v>1235</v>
      </c>
      <c r="B115" s="20" t="s">
        <v>1387</v>
      </c>
      <c r="C115" s="20" t="s">
        <v>1388</v>
      </c>
    </row>
    <row r="116" spans="1:3" ht="45" x14ac:dyDescent="0.25">
      <c r="A116" s="20" t="s">
        <v>1235</v>
      </c>
      <c r="B116" s="20" t="s">
        <v>1389</v>
      </c>
      <c r="C116" s="20" t="s">
        <v>1388</v>
      </c>
    </row>
    <row r="117" spans="1:3" ht="45" x14ac:dyDescent="0.25">
      <c r="A117" s="20" t="s">
        <v>1235</v>
      </c>
      <c r="B117" s="20" t="s">
        <v>1390</v>
      </c>
      <c r="C117" s="20" t="s">
        <v>1391</v>
      </c>
    </row>
    <row r="118" spans="1:3" ht="30" x14ac:dyDescent="0.25">
      <c r="A118" s="20" t="s">
        <v>1235</v>
      </c>
      <c r="B118" s="20" t="s">
        <v>1392</v>
      </c>
      <c r="C118" s="20" t="s">
        <v>1318</v>
      </c>
    </row>
    <row r="119" spans="1:3" ht="30" x14ac:dyDescent="0.25">
      <c r="A119" s="20" t="s">
        <v>1235</v>
      </c>
      <c r="B119" s="20" t="s">
        <v>1393</v>
      </c>
      <c r="C119" s="20" t="s">
        <v>1394</v>
      </c>
    </row>
    <row r="120" spans="1:3" x14ac:dyDescent="0.25">
      <c r="A120" s="20" t="s">
        <v>1235</v>
      </c>
      <c r="B120" s="20" t="s">
        <v>1395</v>
      </c>
      <c r="C120" s="20" t="s">
        <v>1396</v>
      </c>
    </row>
    <row r="121" spans="1:3" ht="45" x14ac:dyDescent="0.25">
      <c r="A121" s="20" t="s">
        <v>1235</v>
      </c>
      <c r="B121" s="20" t="s">
        <v>1397</v>
      </c>
      <c r="C121" s="20" t="s">
        <v>1398</v>
      </c>
    </row>
    <row r="122" spans="1:3" ht="45" x14ac:dyDescent="0.25">
      <c r="A122" s="20" t="s">
        <v>1235</v>
      </c>
      <c r="B122" s="20" t="s">
        <v>1399</v>
      </c>
      <c r="C122" s="20" t="s">
        <v>1398</v>
      </c>
    </row>
    <row r="123" spans="1:3" ht="30" x14ac:dyDescent="0.25">
      <c r="A123" s="20" t="s">
        <v>1235</v>
      </c>
      <c r="B123" s="20" t="s">
        <v>1400</v>
      </c>
      <c r="C123" s="20" t="s">
        <v>1368</v>
      </c>
    </row>
    <row r="124" spans="1:3" ht="45" x14ac:dyDescent="0.25">
      <c r="A124" s="20" t="s">
        <v>1235</v>
      </c>
      <c r="B124" s="20" t="s">
        <v>1401</v>
      </c>
      <c r="C124" s="20" t="s">
        <v>1370</v>
      </c>
    </row>
    <row r="125" spans="1:3" ht="30" x14ac:dyDescent="0.25">
      <c r="A125" s="20" t="s">
        <v>1235</v>
      </c>
      <c r="B125" s="20" t="s">
        <v>1402</v>
      </c>
      <c r="C125" s="20" t="s">
        <v>1372</v>
      </c>
    </row>
    <row r="126" spans="1:3" ht="30" x14ac:dyDescent="0.25">
      <c r="A126" s="20" t="s">
        <v>1235</v>
      </c>
      <c r="B126" s="20" t="s">
        <v>1403</v>
      </c>
      <c r="C126" s="20" t="s">
        <v>1374</v>
      </c>
    </row>
    <row r="127" spans="1:3" x14ac:dyDescent="0.25">
      <c r="A127" s="20" t="s">
        <v>1235</v>
      </c>
      <c r="B127" s="20" t="s">
        <v>1404</v>
      </c>
      <c r="C127" s="20" t="s">
        <v>1376</v>
      </c>
    </row>
    <row r="128" spans="1:3" ht="30" x14ac:dyDescent="0.25">
      <c r="A128" s="20" t="s">
        <v>1235</v>
      </c>
      <c r="B128" s="20" t="s">
        <v>1405</v>
      </c>
      <c r="C128" s="20" t="s">
        <v>1378</v>
      </c>
    </row>
    <row r="129" spans="1:3" ht="30" x14ac:dyDescent="0.25">
      <c r="A129" s="20" t="s">
        <v>1235</v>
      </c>
      <c r="B129" s="20" t="s">
        <v>1406</v>
      </c>
      <c r="C129" s="20" t="s">
        <v>1380</v>
      </c>
    </row>
    <row r="130" spans="1:3" x14ac:dyDescent="0.25">
      <c r="A130" s="20" t="s">
        <v>1235</v>
      </c>
      <c r="B130" s="20" t="s">
        <v>1407</v>
      </c>
      <c r="C130" s="20" t="s">
        <v>1382</v>
      </c>
    </row>
    <row r="131" spans="1:3" x14ac:dyDescent="0.25">
      <c r="A131" s="20" t="s">
        <v>1235</v>
      </c>
      <c r="B131" s="20" t="s">
        <v>1408</v>
      </c>
      <c r="C131" s="20" t="s">
        <v>1384</v>
      </c>
    </row>
    <row r="132" spans="1:3" x14ac:dyDescent="0.25">
      <c r="A132" s="20" t="s">
        <v>1235</v>
      </c>
      <c r="B132" s="20" t="s">
        <v>1409</v>
      </c>
      <c r="C132" s="20" t="s">
        <v>1386</v>
      </c>
    </row>
    <row r="133" spans="1:3" ht="45" x14ac:dyDescent="0.25">
      <c r="A133" s="20" t="s">
        <v>1235</v>
      </c>
      <c r="B133" s="20" t="s">
        <v>1410</v>
      </c>
      <c r="C133" s="20" t="s">
        <v>1388</v>
      </c>
    </row>
    <row r="134" spans="1:3" ht="45" x14ac:dyDescent="0.25">
      <c r="A134" s="20" t="s">
        <v>1235</v>
      </c>
      <c r="B134" s="20" t="s">
        <v>1411</v>
      </c>
      <c r="C134" s="20" t="s">
        <v>1388</v>
      </c>
    </row>
    <row r="135" spans="1:3" ht="45" x14ac:dyDescent="0.25">
      <c r="A135" s="20" t="s">
        <v>1235</v>
      </c>
      <c r="B135" s="20" t="s">
        <v>1412</v>
      </c>
      <c r="C135" s="20" t="s">
        <v>1391</v>
      </c>
    </row>
    <row r="136" spans="1:3" ht="30" x14ac:dyDescent="0.25">
      <c r="A136" s="20" t="s">
        <v>1235</v>
      </c>
      <c r="B136" s="20" t="s">
        <v>1413</v>
      </c>
      <c r="C136" s="20" t="s">
        <v>1318</v>
      </c>
    </row>
    <row r="137" spans="1:3" ht="30" x14ac:dyDescent="0.25">
      <c r="A137" s="20" t="s">
        <v>1235</v>
      </c>
      <c r="B137" s="20" t="s">
        <v>1414</v>
      </c>
      <c r="C137" s="20" t="s">
        <v>1394</v>
      </c>
    </row>
    <row r="138" spans="1:3" x14ac:dyDescent="0.25">
      <c r="A138" s="20" t="s">
        <v>1235</v>
      </c>
      <c r="B138" s="20" t="s">
        <v>1415</v>
      </c>
      <c r="C138" s="20" t="s">
        <v>1396</v>
      </c>
    </row>
    <row r="139" spans="1:3" ht="45" x14ac:dyDescent="0.25">
      <c r="A139" s="20" t="s">
        <v>1235</v>
      </c>
      <c r="B139" s="20" t="s">
        <v>1416</v>
      </c>
      <c r="C139" s="20" t="s">
        <v>1398</v>
      </c>
    </row>
    <row r="140" spans="1:3" ht="45" x14ac:dyDescent="0.25">
      <c r="A140" s="20" t="s">
        <v>1235</v>
      </c>
      <c r="B140" s="20" t="s">
        <v>1417</v>
      </c>
      <c r="C140" s="20" t="s">
        <v>1398</v>
      </c>
    </row>
    <row r="141" spans="1:3" ht="30" x14ac:dyDescent="0.25">
      <c r="A141" s="20" t="s">
        <v>1235</v>
      </c>
      <c r="B141" s="20" t="s">
        <v>1418</v>
      </c>
      <c r="C141" s="20" t="s">
        <v>1368</v>
      </c>
    </row>
    <row r="142" spans="1:3" ht="45" x14ac:dyDescent="0.25">
      <c r="A142" s="20" t="s">
        <v>1235</v>
      </c>
      <c r="B142" s="20" t="s">
        <v>1419</v>
      </c>
      <c r="C142" s="20" t="s">
        <v>1370</v>
      </c>
    </row>
    <row r="143" spans="1:3" ht="30" x14ac:dyDescent="0.25">
      <c r="A143" s="20" t="s">
        <v>1235</v>
      </c>
      <c r="B143" s="20" t="s">
        <v>1420</v>
      </c>
      <c r="C143" s="20" t="s">
        <v>1372</v>
      </c>
    </row>
    <row r="144" spans="1:3" ht="30" x14ac:dyDescent="0.25">
      <c r="A144" s="20" t="s">
        <v>1235</v>
      </c>
      <c r="B144" s="20" t="s">
        <v>1421</v>
      </c>
      <c r="C144" s="20" t="s">
        <v>1374</v>
      </c>
    </row>
    <row r="145" spans="1:3" x14ac:dyDescent="0.25">
      <c r="A145" s="20" t="s">
        <v>1235</v>
      </c>
      <c r="B145" s="20" t="s">
        <v>1422</v>
      </c>
      <c r="C145" s="20" t="s">
        <v>1376</v>
      </c>
    </row>
    <row r="146" spans="1:3" ht="30" x14ac:dyDescent="0.25">
      <c r="A146" s="20" t="s">
        <v>1235</v>
      </c>
      <c r="B146" s="20" t="s">
        <v>1423</v>
      </c>
      <c r="C146" s="20" t="s">
        <v>1378</v>
      </c>
    </row>
    <row r="147" spans="1:3" ht="30" x14ac:dyDescent="0.25">
      <c r="A147" s="20" t="s">
        <v>1235</v>
      </c>
      <c r="B147" s="20" t="s">
        <v>1424</v>
      </c>
      <c r="C147" s="20" t="s">
        <v>1380</v>
      </c>
    </row>
    <row r="148" spans="1:3" x14ac:dyDescent="0.25">
      <c r="A148" s="20" t="s">
        <v>1235</v>
      </c>
      <c r="B148" s="20" t="s">
        <v>1425</v>
      </c>
      <c r="C148" s="20" t="s">
        <v>1382</v>
      </c>
    </row>
    <row r="149" spans="1:3" x14ac:dyDescent="0.25">
      <c r="A149" s="20" t="s">
        <v>1235</v>
      </c>
      <c r="B149" s="20" t="s">
        <v>1426</v>
      </c>
      <c r="C149" s="20" t="s">
        <v>1384</v>
      </c>
    </row>
    <row r="150" spans="1:3" x14ac:dyDescent="0.25">
      <c r="A150" s="20" t="s">
        <v>1235</v>
      </c>
      <c r="B150" s="20" t="s">
        <v>1427</v>
      </c>
      <c r="C150" s="20" t="s">
        <v>1386</v>
      </c>
    </row>
    <row r="151" spans="1:3" ht="45" x14ac:dyDescent="0.25">
      <c r="A151" s="20" t="s">
        <v>1235</v>
      </c>
      <c r="B151" s="20" t="s">
        <v>1428</v>
      </c>
      <c r="C151" s="20" t="s">
        <v>1388</v>
      </c>
    </row>
    <row r="152" spans="1:3" ht="45" x14ac:dyDescent="0.25">
      <c r="A152" s="20" t="s">
        <v>1235</v>
      </c>
      <c r="B152" s="20" t="s">
        <v>1429</v>
      </c>
      <c r="C152" s="20" t="s">
        <v>1388</v>
      </c>
    </row>
    <row r="153" spans="1:3" ht="45" x14ac:dyDescent="0.25">
      <c r="A153" s="20" t="s">
        <v>1235</v>
      </c>
      <c r="B153" s="20" t="s">
        <v>1430</v>
      </c>
      <c r="C153" s="20" t="s">
        <v>1391</v>
      </c>
    </row>
    <row r="154" spans="1:3" ht="30" x14ac:dyDescent="0.25">
      <c r="A154" s="20" t="s">
        <v>1235</v>
      </c>
      <c r="B154" s="20" t="s">
        <v>1431</v>
      </c>
      <c r="C154" s="20" t="s">
        <v>1318</v>
      </c>
    </row>
    <row r="155" spans="1:3" ht="30" x14ac:dyDescent="0.25">
      <c r="A155" s="20" t="s">
        <v>1235</v>
      </c>
      <c r="B155" s="20" t="s">
        <v>1432</v>
      </c>
      <c r="C155" s="20" t="s">
        <v>1394</v>
      </c>
    </row>
    <row r="156" spans="1:3" x14ac:dyDescent="0.25">
      <c r="A156" s="20" t="s">
        <v>1235</v>
      </c>
      <c r="B156" s="20" t="s">
        <v>1433</v>
      </c>
      <c r="C156" s="20" t="s">
        <v>1396</v>
      </c>
    </row>
    <row r="157" spans="1:3" ht="45" x14ac:dyDescent="0.25">
      <c r="A157" s="20" t="s">
        <v>1235</v>
      </c>
      <c r="B157" s="20" t="s">
        <v>1434</v>
      </c>
      <c r="C157" s="20" t="s">
        <v>1398</v>
      </c>
    </row>
    <row r="158" spans="1:3" ht="45" x14ac:dyDescent="0.25">
      <c r="A158" s="20" t="s">
        <v>1235</v>
      </c>
      <c r="B158" s="20" t="s">
        <v>1435</v>
      </c>
      <c r="C158" s="20" t="s">
        <v>1398</v>
      </c>
    </row>
    <row r="159" spans="1:3" ht="30" x14ac:dyDescent="0.25">
      <c r="A159" s="20" t="s">
        <v>1235</v>
      </c>
      <c r="B159" s="20" t="s">
        <v>1436</v>
      </c>
      <c r="C159" s="20" t="s">
        <v>1368</v>
      </c>
    </row>
    <row r="160" spans="1:3" ht="45" x14ac:dyDescent="0.25">
      <c r="A160" s="20" t="s">
        <v>1235</v>
      </c>
      <c r="B160" s="20" t="s">
        <v>1437</v>
      </c>
      <c r="C160" s="20" t="s">
        <v>1370</v>
      </c>
    </row>
    <row r="161" spans="1:3" ht="30" x14ac:dyDescent="0.25">
      <c r="A161" s="20" t="s">
        <v>1235</v>
      </c>
      <c r="B161" s="20" t="s">
        <v>1438</v>
      </c>
      <c r="C161" s="20" t="s">
        <v>1372</v>
      </c>
    </row>
    <row r="162" spans="1:3" ht="30" x14ac:dyDescent="0.25">
      <c r="A162" s="20" t="s">
        <v>1235</v>
      </c>
      <c r="B162" s="20" t="s">
        <v>1439</v>
      </c>
      <c r="C162" s="20" t="s">
        <v>1374</v>
      </c>
    </row>
    <row r="163" spans="1:3" x14ac:dyDescent="0.25">
      <c r="A163" s="20" t="s">
        <v>1235</v>
      </c>
      <c r="B163" s="20" t="s">
        <v>1440</v>
      </c>
      <c r="C163" s="20" t="s">
        <v>1376</v>
      </c>
    </row>
    <row r="164" spans="1:3" ht="30" x14ac:dyDescent="0.25">
      <c r="A164" s="20" t="s">
        <v>1235</v>
      </c>
      <c r="B164" s="20" t="s">
        <v>1441</v>
      </c>
      <c r="C164" s="20" t="s">
        <v>1378</v>
      </c>
    </row>
    <row r="165" spans="1:3" ht="30" x14ac:dyDescent="0.25">
      <c r="A165" s="20" t="s">
        <v>1235</v>
      </c>
      <c r="B165" s="20" t="s">
        <v>1442</v>
      </c>
      <c r="C165" s="20" t="s">
        <v>1380</v>
      </c>
    </row>
    <row r="166" spans="1:3" x14ac:dyDescent="0.25">
      <c r="A166" s="20" t="s">
        <v>1235</v>
      </c>
      <c r="B166" s="20" t="s">
        <v>1443</v>
      </c>
      <c r="C166" s="20" t="s">
        <v>1382</v>
      </c>
    </row>
    <row r="167" spans="1:3" x14ac:dyDescent="0.25">
      <c r="A167" s="20" t="s">
        <v>1235</v>
      </c>
      <c r="B167" s="20" t="s">
        <v>1444</v>
      </c>
      <c r="C167" s="20" t="s">
        <v>1384</v>
      </c>
    </row>
    <row r="168" spans="1:3" x14ac:dyDescent="0.25">
      <c r="A168" s="20" t="s">
        <v>1235</v>
      </c>
      <c r="B168" s="20" t="s">
        <v>1445</v>
      </c>
      <c r="C168" s="20" t="s">
        <v>1386</v>
      </c>
    </row>
    <row r="169" spans="1:3" ht="45" x14ac:dyDescent="0.25">
      <c r="A169" s="20" t="s">
        <v>1235</v>
      </c>
      <c r="B169" s="20" t="s">
        <v>1446</v>
      </c>
      <c r="C169" s="20" t="s">
        <v>1388</v>
      </c>
    </row>
    <row r="170" spans="1:3" ht="45" x14ac:dyDescent="0.25">
      <c r="A170" s="20" t="s">
        <v>1235</v>
      </c>
      <c r="B170" s="20" t="s">
        <v>1447</v>
      </c>
      <c r="C170" s="20" t="s">
        <v>1388</v>
      </c>
    </row>
    <row r="171" spans="1:3" ht="45" x14ac:dyDescent="0.25">
      <c r="A171" s="20" t="s">
        <v>1235</v>
      </c>
      <c r="B171" s="20" t="s">
        <v>1448</v>
      </c>
      <c r="C171" s="20" t="s">
        <v>1391</v>
      </c>
    </row>
    <row r="172" spans="1:3" ht="30" x14ac:dyDescent="0.25">
      <c r="A172" s="20" t="s">
        <v>1235</v>
      </c>
      <c r="B172" s="20" t="s">
        <v>1449</v>
      </c>
      <c r="C172" s="20" t="s">
        <v>1318</v>
      </c>
    </row>
    <row r="173" spans="1:3" ht="30" x14ac:dyDescent="0.25">
      <c r="A173" s="20" t="s">
        <v>1235</v>
      </c>
      <c r="B173" s="20" t="s">
        <v>1450</v>
      </c>
      <c r="C173" s="20" t="s">
        <v>1394</v>
      </c>
    </row>
    <row r="174" spans="1:3" x14ac:dyDescent="0.25">
      <c r="A174" s="20" t="s">
        <v>1235</v>
      </c>
      <c r="B174" s="20" t="s">
        <v>1451</v>
      </c>
      <c r="C174" s="20" t="s">
        <v>1396</v>
      </c>
    </row>
    <row r="175" spans="1:3" ht="45" x14ac:dyDescent="0.25">
      <c r="A175" s="20" t="s">
        <v>1235</v>
      </c>
      <c r="B175" s="20" t="s">
        <v>1452</v>
      </c>
      <c r="C175" s="20" t="s">
        <v>1398</v>
      </c>
    </row>
    <row r="176" spans="1:3" ht="45" x14ac:dyDescent="0.25">
      <c r="A176" s="20" t="s">
        <v>1235</v>
      </c>
      <c r="B176" s="20" t="s">
        <v>1453</v>
      </c>
      <c r="C176" s="20" t="s">
        <v>1398</v>
      </c>
    </row>
    <row r="177" spans="1:3" ht="30" x14ac:dyDescent="0.25">
      <c r="A177" s="20" t="s">
        <v>1235</v>
      </c>
      <c r="B177" s="20" t="s">
        <v>1454</v>
      </c>
      <c r="C177" s="20" t="s">
        <v>1368</v>
      </c>
    </row>
    <row r="178" spans="1:3" ht="45" x14ac:dyDescent="0.25">
      <c r="A178" s="20" t="s">
        <v>1235</v>
      </c>
      <c r="B178" s="20" t="s">
        <v>1455</v>
      </c>
      <c r="C178" s="20" t="s">
        <v>1370</v>
      </c>
    </row>
    <row r="179" spans="1:3" ht="30" x14ac:dyDescent="0.25">
      <c r="A179" s="20" t="s">
        <v>1235</v>
      </c>
      <c r="B179" s="20" t="s">
        <v>1456</v>
      </c>
      <c r="C179" s="20" t="s">
        <v>1372</v>
      </c>
    </row>
    <row r="180" spans="1:3" ht="30" x14ac:dyDescent="0.25">
      <c r="A180" s="20" t="s">
        <v>1235</v>
      </c>
      <c r="B180" s="20" t="s">
        <v>1457</v>
      </c>
      <c r="C180" s="20" t="s">
        <v>1374</v>
      </c>
    </row>
    <row r="181" spans="1:3" x14ac:dyDescent="0.25">
      <c r="A181" s="20" t="s">
        <v>1235</v>
      </c>
      <c r="B181" s="20" t="s">
        <v>1458</v>
      </c>
      <c r="C181" s="20" t="s">
        <v>1376</v>
      </c>
    </row>
    <row r="182" spans="1:3" ht="30" x14ac:dyDescent="0.25">
      <c r="A182" s="20" t="s">
        <v>1235</v>
      </c>
      <c r="B182" s="20" t="s">
        <v>1459</v>
      </c>
      <c r="C182" s="20" t="s">
        <v>1378</v>
      </c>
    </row>
    <row r="183" spans="1:3" ht="30" x14ac:dyDescent="0.25">
      <c r="A183" s="20" t="s">
        <v>1235</v>
      </c>
      <c r="B183" s="20" t="s">
        <v>1460</v>
      </c>
      <c r="C183" s="20" t="s">
        <v>1380</v>
      </c>
    </row>
    <row r="184" spans="1:3" x14ac:dyDescent="0.25">
      <c r="A184" s="20" t="s">
        <v>1235</v>
      </c>
      <c r="B184" s="20" t="s">
        <v>1461</v>
      </c>
      <c r="C184" s="20" t="s">
        <v>1382</v>
      </c>
    </row>
    <row r="185" spans="1:3" x14ac:dyDescent="0.25">
      <c r="A185" s="20" t="s">
        <v>1235</v>
      </c>
      <c r="B185" s="20" t="s">
        <v>1462</v>
      </c>
      <c r="C185" s="20" t="s">
        <v>1384</v>
      </c>
    </row>
    <row r="186" spans="1:3" x14ac:dyDescent="0.25">
      <c r="A186" s="20" t="s">
        <v>1235</v>
      </c>
      <c r="B186" s="20" t="s">
        <v>1463</v>
      </c>
      <c r="C186" s="20" t="s">
        <v>1386</v>
      </c>
    </row>
    <row r="187" spans="1:3" ht="45" x14ac:dyDescent="0.25">
      <c r="A187" s="20" t="s">
        <v>1235</v>
      </c>
      <c r="B187" s="20" t="s">
        <v>1464</v>
      </c>
      <c r="C187" s="20" t="s">
        <v>1388</v>
      </c>
    </row>
    <row r="188" spans="1:3" ht="45" x14ac:dyDescent="0.25">
      <c r="A188" s="20" t="s">
        <v>1235</v>
      </c>
      <c r="B188" s="20" t="s">
        <v>1465</v>
      </c>
      <c r="C188" s="20" t="s">
        <v>1388</v>
      </c>
    </row>
    <row r="189" spans="1:3" ht="45" x14ac:dyDescent="0.25">
      <c r="A189" s="20" t="s">
        <v>1235</v>
      </c>
      <c r="B189" s="20" t="s">
        <v>1466</v>
      </c>
      <c r="C189" s="20" t="s">
        <v>1391</v>
      </c>
    </row>
    <row r="190" spans="1:3" ht="30" x14ac:dyDescent="0.25">
      <c r="A190" s="20" t="s">
        <v>1235</v>
      </c>
      <c r="B190" s="20" t="s">
        <v>1467</v>
      </c>
      <c r="C190" s="20" t="s">
        <v>1318</v>
      </c>
    </row>
    <row r="191" spans="1:3" ht="30" x14ac:dyDescent="0.25">
      <c r="A191" s="20" t="s">
        <v>1235</v>
      </c>
      <c r="B191" s="20" t="s">
        <v>1468</v>
      </c>
      <c r="C191" s="20" t="s">
        <v>1394</v>
      </c>
    </row>
    <row r="192" spans="1:3" x14ac:dyDescent="0.25">
      <c r="A192" s="20" t="s">
        <v>1235</v>
      </c>
      <c r="B192" s="20" t="s">
        <v>1469</v>
      </c>
      <c r="C192" s="20" t="s">
        <v>1396</v>
      </c>
    </row>
    <row r="193" spans="1:3" ht="45" x14ac:dyDescent="0.25">
      <c r="A193" s="20" t="s">
        <v>1235</v>
      </c>
      <c r="B193" s="20" t="s">
        <v>1470</v>
      </c>
      <c r="C193" s="20" t="s">
        <v>1398</v>
      </c>
    </row>
    <row r="194" spans="1:3" ht="45" x14ac:dyDescent="0.25">
      <c r="A194" s="20" t="s">
        <v>1235</v>
      </c>
      <c r="B194" s="20" t="s">
        <v>1471</v>
      </c>
      <c r="C194" s="20" t="s">
        <v>1398</v>
      </c>
    </row>
    <row r="195" spans="1:3" ht="30" x14ac:dyDescent="0.25">
      <c r="A195" s="20" t="s">
        <v>1235</v>
      </c>
      <c r="B195" s="20" t="s">
        <v>1472</v>
      </c>
      <c r="C195" s="20" t="s">
        <v>1368</v>
      </c>
    </row>
    <row r="196" spans="1:3" ht="45" x14ac:dyDescent="0.25">
      <c r="A196" s="20" t="s">
        <v>1235</v>
      </c>
      <c r="B196" s="20" t="s">
        <v>1473</v>
      </c>
      <c r="C196" s="20" t="s">
        <v>1370</v>
      </c>
    </row>
    <row r="197" spans="1:3" ht="30" x14ac:dyDescent="0.25">
      <c r="A197" s="20" t="s">
        <v>1235</v>
      </c>
      <c r="B197" s="20" t="s">
        <v>1474</v>
      </c>
      <c r="C197" s="20" t="s">
        <v>1372</v>
      </c>
    </row>
    <row r="198" spans="1:3" ht="30" x14ac:dyDescent="0.25">
      <c r="A198" s="20" t="s">
        <v>1235</v>
      </c>
      <c r="B198" s="20" t="s">
        <v>1475</v>
      </c>
      <c r="C198" s="20" t="s">
        <v>1374</v>
      </c>
    </row>
    <row r="199" spans="1:3" x14ac:dyDescent="0.25">
      <c r="A199" s="20" t="s">
        <v>1235</v>
      </c>
      <c r="B199" s="20" t="s">
        <v>1476</v>
      </c>
      <c r="C199" s="20" t="s">
        <v>1376</v>
      </c>
    </row>
    <row r="200" spans="1:3" ht="30" x14ac:dyDescent="0.25">
      <c r="A200" s="20" t="s">
        <v>1235</v>
      </c>
      <c r="B200" s="20" t="s">
        <v>1477</v>
      </c>
      <c r="C200" s="20" t="s">
        <v>1378</v>
      </c>
    </row>
    <row r="201" spans="1:3" ht="30" x14ac:dyDescent="0.25">
      <c r="A201" s="20" t="s">
        <v>1235</v>
      </c>
      <c r="B201" s="20" t="s">
        <v>1478</v>
      </c>
      <c r="C201" s="20" t="s">
        <v>1380</v>
      </c>
    </row>
    <row r="202" spans="1:3" x14ac:dyDescent="0.25">
      <c r="A202" s="20" t="s">
        <v>1235</v>
      </c>
      <c r="B202" s="20" t="s">
        <v>1479</v>
      </c>
      <c r="C202" s="20" t="s">
        <v>1382</v>
      </c>
    </row>
    <row r="203" spans="1:3" x14ac:dyDescent="0.25">
      <c r="A203" s="20" t="s">
        <v>1235</v>
      </c>
      <c r="B203" s="20" t="s">
        <v>1480</v>
      </c>
      <c r="C203" s="20" t="s">
        <v>1384</v>
      </c>
    </row>
    <row r="204" spans="1:3" x14ac:dyDescent="0.25">
      <c r="A204" s="20" t="s">
        <v>1235</v>
      </c>
      <c r="B204" s="20" t="s">
        <v>1481</v>
      </c>
      <c r="C204" s="20" t="s">
        <v>1386</v>
      </c>
    </row>
    <row r="205" spans="1:3" ht="45" x14ac:dyDescent="0.25">
      <c r="A205" s="20" t="s">
        <v>1235</v>
      </c>
      <c r="B205" s="20" t="s">
        <v>1482</v>
      </c>
      <c r="C205" s="20" t="s">
        <v>1388</v>
      </c>
    </row>
    <row r="206" spans="1:3" ht="45" x14ac:dyDescent="0.25">
      <c r="A206" s="20" t="s">
        <v>1235</v>
      </c>
      <c r="B206" s="20" t="s">
        <v>1483</v>
      </c>
      <c r="C206" s="20" t="s">
        <v>1388</v>
      </c>
    </row>
    <row r="207" spans="1:3" ht="45" x14ac:dyDescent="0.25">
      <c r="A207" s="20" t="s">
        <v>1235</v>
      </c>
      <c r="B207" s="20" t="s">
        <v>1484</v>
      </c>
      <c r="C207" s="20" t="s">
        <v>1391</v>
      </c>
    </row>
    <row r="208" spans="1:3" ht="30" x14ac:dyDescent="0.25">
      <c r="A208" s="20" t="s">
        <v>1235</v>
      </c>
      <c r="B208" s="20" t="s">
        <v>1485</v>
      </c>
      <c r="C208" s="20" t="s">
        <v>1318</v>
      </c>
    </row>
    <row r="209" spans="1:3" ht="30" x14ac:dyDescent="0.25">
      <c r="A209" s="20" t="s">
        <v>1235</v>
      </c>
      <c r="B209" s="20" t="s">
        <v>1486</v>
      </c>
      <c r="C209" s="20" t="s">
        <v>1394</v>
      </c>
    </row>
    <row r="210" spans="1:3" x14ac:dyDescent="0.25">
      <c r="A210" s="20" t="s">
        <v>1235</v>
      </c>
      <c r="B210" s="20" t="s">
        <v>1487</v>
      </c>
      <c r="C210" s="20" t="s">
        <v>1396</v>
      </c>
    </row>
    <row r="211" spans="1:3" ht="45" x14ac:dyDescent="0.25">
      <c r="A211" s="20" t="s">
        <v>1235</v>
      </c>
      <c r="B211" s="20" t="s">
        <v>1488</v>
      </c>
      <c r="C211" s="20" t="s">
        <v>1398</v>
      </c>
    </row>
    <row r="212" spans="1:3" ht="45" x14ac:dyDescent="0.25">
      <c r="A212" s="20" t="s">
        <v>1235</v>
      </c>
      <c r="B212" s="20" t="s">
        <v>1489</v>
      </c>
      <c r="C212" s="20" t="s">
        <v>1398</v>
      </c>
    </row>
    <row r="213" spans="1:3" ht="45" x14ac:dyDescent="0.25">
      <c r="A213" s="20" t="s">
        <v>1235</v>
      </c>
      <c r="B213" s="20" t="s">
        <v>1490</v>
      </c>
      <c r="C213" s="21" t="s">
        <v>1491</v>
      </c>
    </row>
    <row r="214" spans="1:3" ht="45" x14ac:dyDescent="0.25">
      <c r="A214" s="20" t="s">
        <v>1235</v>
      </c>
      <c r="B214" s="20" t="s">
        <v>1492</v>
      </c>
      <c r="C214" s="21" t="s">
        <v>1493</v>
      </c>
    </row>
    <row r="215" spans="1:3" x14ac:dyDescent="0.25">
      <c r="A215" s="20" t="s">
        <v>1235</v>
      </c>
      <c r="B215" s="20" t="s">
        <v>1494</v>
      </c>
      <c r="C215" s="20" t="s">
        <v>1495</v>
      </c>
    </row>
    <row r="216" spans="1:3" ht="30" x14ac:dyDescent="0.25">
      <c r="A216" s="20" t="s">
        <v>1235</v>
      </c>
      <c r="B216" s="20" t="s">
        <v>1496</v>
      </c>
      <c r="C216" s="20" t="s">
        <v>1497</v>
      </c>
    </row>
    <row r="217" spans="1:3" ht="45" x14ac:dyDescent="0.25">
      <c r="A217" s="20" t="s">
        <v>1235</v>
      </c>
      <c r="B217" s="20" t="s">
        <v>1498</v>
      </c>
      <c r="C217" s="21" t="s">
        <v>1499</v>
      </c>
    </row>
    <row r="218" spans="1:3" ht="30" x14ac:dyDescent="0.25">
      <c r="A218" s="20" t="s">
        <v>1235</v>
      </c>
      <c r="B218" s="20" t="s">
        <v>1500</v>
      </c>
      <c r="C218" s="20" t="s">
        <v>1501</v>
      </c>
    </row>
    <row r="219" spans="1:3" ht="30" x14ac:dyDescent="0.25">
      <c r="A219" s="20" t="s">
        <v>1235</v>
      </c>
      <c r="B219" s="20" t="s">
        <v>1502</v>
      </c>
      <c r="C219" s="20" t="s">
        <v>1503</v>
      </c>
    </row>
    <row r="220" spans="1:3" ht="45" x14ac:dyDescent="0.25">
      <c r="A220" s="20" t="s">
        <v>1235</v>
      </c>
      <c r="B220" s="20" t="s">
        <v>1504</v>
      </c>
      <c r="C220" s="21" t="s">
        <v>1505</v>
      </c>
    </row>
    <row r="221" spans="1:3" ht="45" x14ac:dyDescent="0.25">
      <c r="A221" s="20" t="s">
        <v>1235</v>
      </c>
      <c r="B221" s="20" t="s">
        <v>1506</v>
      </c>
      <c r="C221" s="21" t="s">
        <v>1505</v>
      </c>
    </row>
    <row r="222" spans="1:3" ht="45" x14ac:dyDescent="0.25">
      <c r="A222" s="20" t="s">
        <v>1235</v>
      </c>
      <c r="B222" s="20" t="s">
        <v>1507</v>
      </c>
      <c r="C222" s="21" t="s">
        <v>1505</v>
      </c>
    </row>
    <row r="223" spans="1:3" ht="45" x14ac:dyDescent="0.25">
      <c r="A223" s="20" t="s">
        <v>1235</v>
      </c>
      <c r="B223" s="20" t="s">
        <v>1508</v>
      </c>
      <c r="C223" s="21" t="s">
        <v>1505</v>
      </c>
    </row>
    <row r="224" spans="1:3" ht="45" x14ac:dyDescent="0.25">
      <c r="A224" s="20" t="s">
        <v>1235</v>
      </c>
      <c r="B224" s="20" t="s">
        <v>1509</v>
      </c>
      <c r="C224" s="21" t="s">
        <v>1505</v>
      </c>
    </row>
    <row r="225" spans="1:3" ht="45" x14ac:dyDescent="0.25">
      <c r="A225" s="20" t="s">
        <v>1235</v>
      </c>
      <c r="B225" s="20" t="s">
        <v>1510</v>
      </c>
      <c r="C225" s="21" t="s">
        <v>1505</v>
      </c>
    </row>
    <row r="226" spans="1:3" ht="45" x14ac:dyDescent="0.25">
      <c r="A226" s="20" t="s">
        <v>1235</v>
      </c>
      <c r="B226" s="20" t="s">
        <v>1511</v>
      </c>
      <c r="C226" s="21" t="s">
        <v>1505</v>
      </c>
    </row>
    <row r="227" spans="1:3" ht="45" x14ac:dyDescent="0.25">
      <c r="A227" s="20" t="s">
        <v>1235</v>
      </c>
      <c r="B227" s="20" t="s">
        <v>1512</v>
      </c>
      <c r="C227" s="21" t="s">
        <v>1505</v>
      </c>
    </row>
    <row r="228" spans="1:3" ht="45" x14ac:dyDescent="0.25">
      <c r="A228" s="20" t="s">
        <v>1235</v>
      </c>
      <c r="B228" s="20" t="s">
        <v>1513</v>
      </c>
      <c r="C228" s="21" t="s">
        <v>1505</v>
      </c>
    </row>
    <row r="229" spans="1:3" ht="45" x14ac:dyDescent="0.25">
      <c r="A229" s="20" t="s">
        <v>1235</v>
      </c>
      <c r="B229" s="20" t="s">
        <v>1514</v>
      </c>
      <c r="C229" s="21" t="s">
        <v>1505</v>
      </c>
    </row>
    <row r="230" spans="1:3" x14ac:dyDescent="0.25">
      <c r="A230" s="20" t="s">
        <v>1235</v>
      </c>
      <c r="B230" s="20" t="s">
        <v>1515</v>
      </c>
      <c r="C230" s="20" t="s">
        <v>1516</v>
      </c>
    </row>
    <row r="231" spans="1:3" ht="45" x14ac:dyDescent="0.25">
      <c r="A231" s="20" t="s">
        <v>1235</v>
      </c>
      <c r="B231" s="20" t="s">
        <v>1517</v>
      </c>
      <c r="C231" s="21" t="s">
        <v>1505</v>
      </c>
    </row>
    <row r="232" spans="1:3" ht="45" x14ac:dyDescent="0.25">
      <c r="A232" s="20" t="s">
        <v>1235</v>
      </c>
      <c r="B232" s="20" t="s">
        <v>1518</v>
      </c>
      <c r="C232" s="21" t="s">
        <v>1505</v>
      </c>
    </row>
    <row r="233" spans="1:3" ht="45" x14ac:dyDescent="0.25">
      <c r="A233" s="20" t="s">
        <v>1235</v>
      </c>
      <c r="B233" s="20" t="s">
        <v>1519</v>
      </c>
      <c r="C233" s="21" t="s">
        <v>1505</v>
      </c>
    </row>
    <row r="234" spans="1:3" ht="45" x14ac:dyDescent="0.25">
      <c r="A234" s="20" t="s">
        <v>1235</v>
      </c>
      <c r="B234" s="20" t="s">
        <v>1520</v>
      </c>
      <c r="C234" s="21" t="s">
        <v>1505</v>
      </c>
    </row>
    <row r="235" spans="1:3" ht="45" x14ac:dyDescent="0.25">
      <c r="A235" s="20" t="s">
        <v>1235</v>
      </c>
      <c r="B235" s="20" t="s">
        <v>1521</v>
      </c>
      <c r="C235" s="21" t="s">
        <v>1505</v>
      </c>
    </row>
    <row r="236" spans="1:3" ht="45" x14ac:dyDescent="0.25">
      <c r="A236" s="20" t="s">
        <v>1235</v>
      </c>
      <c r="B236" s="20" t="s">
        <v>1522</v>
      </c>
      <c r="C236" s="21" t="s">
        <v>1505</v>
      </c>
    </row>
    <row r="237" spans="1:3" ht="45" x14ac:dyDescent="0.25">
      <c r="A237" s="20" t="s">
        <v>1235</v>
      </c>
      <c r="B237" s="20" t="s">
        <v>1523</v>
      </c>
      <c r="C237" s="21" t="s">
        <v>1505</v>
      </c>
    </row>
    <row r="238" spans="1:3" ht="45" x14ac:dyDescent="0.25">
      <c r="A238" s="20" t="s">
        <v>1235</v>
      </c>
      <c r="B238" s="20" t="s">
        <v>1524</v>
      </c>
      <c r="C238" s="21" t="s">
        <v>1505</v>
      </c>
    </row>
    <row r="239" spans="1:3" ht="45" x14ac:dyDescent="0.25">
      <c r="A239" s="20" t="s">
        <v>1235</v>
      </c>
      <c r="B239" s="20" t="s">
        <v>1525</v>
      </c>
      <c r="C239" s="21" t="s">
        <v>1505</v>
      </c>
    </row>
    <row r="240" spans="1:3" ht="45" x14ac:dyDescent="0.25">
      <c r="A240" s="20" t="s">
        <v>1235</v>
      </c>
      <c r="B240" s="20" t="s">
        <v>1526</v>
      </c>
      <c r="C240" s="21" t="s">
        <v>1527</v>
      </c>
    </row>
    <row r="241" spans="1:3" ht="45" x14ac:dyDescent="0.25">
      <c r="A241" s="20" t="s">
        <v>1235</v>
      </c>
      <c r="B241" s="20" t="s">
        <v>1528</v>
      </c>
      <c r="C241" s="21" t="s">
        <v>1527</v>
      </c>
    </row>
    <row r="242" spans="1:3" ht="45" x14ac:dyDescent="0.25">
      <c r="A242" s="20" t="s">
        <v>1235</v>
      </c>
      <c r="B242" s="20" t="s">
        <v>1529</v>
      </c>
      <c r="C242" s="21" t="s">
        <v>1527</v>
      </c>
    </row>
    <row r="243" spans="1:3" ht="45" x14ac:dyDescent="0.25">
      <c r="A243" s="20" t="s">
        <v>1235</v>
      </c>
      <c r="B243" s="20" t="s">
        <v>1530</v>
      </c>
      <c r="C243" s="21" t="s">
        <v>1527</v>
      </c>
    </row>
    <row r="244" spans="1:3" ht="45" x14ac:dyDescent="0.25">
      <c r="A244" s="20" t="s">
        <v>1235</v>
      </c>
      <c r="B244" s="20" t="s">
        <v>1531</v>
      </c>
      <c r="C244" s="21" t="s">
        <v>1527</v>
      </c>
    </row>
    <row r="245" spans="1:3" ht="45" x14ac:dyDescent="0.25">
      <c r="A245" s="20" t="s">
        <v>1235</v>
      </c>
      <c r="B245" s="20" t="s">
        <v>1532</v>
      </c>
      <c r="C245" s="21" t="s">
        <v>1527</v>
      </c>
    </row>
    <row r="246" spans="1:3" ht="45" x14ac:dyDescent="0.25">
      <c r="A246" s="20" t="s">
        <v>1235</v>
      </c>
      <c r="B246" s="20" t="s">
        <v>1533</v>
      </c>
      <c r="C246" s="21" t="s">
        <v>1527</v>
      </c>
    </row>
    <row r="247" spans="1:3" ht="45" x14ac:dyDescent="0.25">
      <c r="A247" s="20" t="s">
        <v>1235</v>
      </c>
      <c r="B247" s="20" t="s">
        <v>1534</v>
      </c>
      <c r="C247" s="21" t="s">
        <v>1527</v>
      </c>
    </row>
    <row r="248" spans="1:3" ht="45" x14ac:dyDescent="0.25">
      <c r="A248" s="20" t="s">
        <v>1235</v>
      </c>
      <c r="B248" s="20" t="s">
        <v>1535</v>
      </c>
      <c r="C248" s="21" t="s">
        <v>1527</v>
      </c>
    </row>
    <row r="249" spans="1:3" ht="45" x14ac:dyDescent="0.25">
      <c r="A249" s="20" t="s">
        <v>1235</v>
      </c>
      <c r="B249" s="20" t="s">
        <v>1536</v>
      </c>
      <c r="C249" s="21" t="s">
        <v>1527</v>
      </c>
    </row>
    <row r="250" spans="1:3" ht="45" x14ac:dyDescent="0.25">
      <c r="A250" s="20" t="s">
        <v>1235</v>
      </c>
      <c r="B250" s="20" t="s">
        <v>1537</v>
      </c>
      <c r="C250" s="21" t="s">
        <v>1527</v>
      </c>
    </row>
    <row r="251" spans="1:3" ht="30" x14ac:dyDescent="0.25">
      <c r="A251" s="20" t="s">
        <v>1235</v>
      </c>
      <c r="B251" s="20" t="s">
        <v>1538</v>
      </c>
      <c r="C251" s="21" t="s">
        <v>1539</v>
      </c>
    </row>
    <row r="252" spans="1:3" x14ac:dyDescent="0.25">
      <c r="A252" s="20" t="s">
        <v>1235</v>
      </c>
      <c r="B252" s="20" t="s">
        <v>1540</v>
      </c>
      <c r="C252" s="20" t="s">
        <v>1541</v>
      </c>
    </row>
    <row r="253" spans="1:3" ht="30" x14ac:dyDescent="0.25">
      <c r="A253" s="20" t="s">
        <v>1235</v>
      </c>
      <c r="B253" s="20" t="s">
        <v>1542</v>
      </c>
      <c r="C253" s="21" t="s">
        <v>1539</v>
      </c>
    </row>
    <row r="254" spans="1:3" x14ac:dyDescent="0.25">
      <c r="A254" s="20" t="s">
        <v>1235</v>
      </c>
      <c r="B254" s="20" t="s">
        <v>1543</v>
      </c>
      <c r="C254" s="20" t="s">
        <v>1541</v>
      </c>
    </row>
    <row r="255" spans="1:3" ht="30" x14ac:dyDescent="0.25">
      <c r="A255" s="20" t="s">
        <v>1235</v>
      </c>
      <c r="B255" s="20" t="s">
        <v>1544</v>
      </c>
      <c r="C255" s="21" t="s">
        <v>1539</v>
      </c>
    </row>
    <row r="256" spans="1:3" x14ac:dyDescent="0.25">
      <c r="A256" s="20" t="s">
        <v>1235</v>
      </c>
      <c r="B256" s="20" t="s">
        <v>1545</v>
      </c>
      <c r="C256" s="20" t="s">
        <v>1541</v>
      </c>
    </row>
    <row r="257" spans="1:3" ht="30" x14ac:dyDescent="0.25">
      <c r="A257" s="20" t="s">
        <v>1235</v>
      </c>
      <c r="B257" s="20" t="s">
        <v>1546</v>
      </c>
      <c r="C257" s="21" t="s">
        <v>1539</v>
      </c>
    </row>
    <row r="258" spans="1:3" ht="30" x14ac:dyDescent="0.25">
      <c r="A258" s="20" t="s">
        <v>1235</v>
      </c>
      <c r="B258" s="20" t="s">
        <v>1547</v>
      </c>
      <c r="C258" s="20" t="s">
        <v>1541</v>
      </c>
    </row>
    <row r="259" spans="1:3" ht="30" x14ac:dyDescent="0.25">
      <c r="A259" s="20" t="s">
        <v>1235</v>
      </c>
      <c r="B259" s="20" t="s">
        <v>1548</v>
      </c>
      <c r="C259" s="21" t="s">
        <v>1539</v>
      </c>
    </row>
    <row r="260" spans="1:3" x14ac:dyDescent="0.25">
      <c r="A260" s="20" t="s">
        <v>1235</v>
      </c>
      <c r="B260" s="20" t="s">
        <v>1549</v>
      </c>
      <c r="C260" s="20" t="s">
        <v>1541</v>
      </c>
    </row>
    <row r="261" spans="1:3" ht="30" x14ac:dyDescent="0.25">
      <c r="A261" s="20" t="s">
        <v>1235</v>
      </c>
      <c r="B261" s="20" t="s">
        <v>1550</v>
      </c>
      <c r="C261" s="21" t="s">
        <v>1539</v>
      </c>
    </row>
    <row r="262" spans="1:3" ht="30" x14ac:dyDescent="0.25">
      <c r="A262" s="20" t="s">
        <v>1235</v>
      </c>
      <c r="B262" s="20" t="s">
        <v>1551</v>
      </c>
      <c r="C262" s="20" t="s">
        <v>1541</v>
      </c>
    </row>
    <row r="263" spans="1:3" ht="30" x14ac:dyDescent="0.25">
      <c r="A263" s="20" t="s">
        <v>1235</v>
      </c>
      <c r="B263" s="20" t="s">
        <v>1552</v>
      </c>
      <c r="C263" s="21" t="s">
        <v>1539</v>
      </c>
    </row>
    <row r="264" spans="1:3" x14ac:dyDescent="0.25">
      <c r="A264" s="20" t="s">
        <v>1235</v>
      </c>
      <c r="B264" s="20" t="s">
        <v>1553</v>
      </c>
      <c r="C264" s="20" t="s">
        <v>1541</v>
      </c>
    </row>
    <row r="265" spans="1:3" ht="45" x14ac:dyDescent="0.25">
      <c r="A265" s="20" t="s">
        <v>1235</v>
      </c>
      <c r="B265" s="20" t="s">
        <v>1554</v>
      </c>
      <c r="C265" s="21" t="s">
        <v>1493</v>
      </c>
    </row>
    <row r="266" spans="1:3" ht="45" x14ac:dyDescent="0.25">
      <c r="A266" s="20" t="s">
        <v>1235</v>
      </c>
      <c r="B266" s="20" t="s">
        <v>1555</v>
      </c>
      <c r="C266" s="21" t="s">
        <v>1493</v>
      </c>
    </row>
    <row r="267" spans="1:3" ht="45" x14ac:dyDescent="0.25">
      <c r="A267" s="20" t="s">
        <v>1235</v>
      </c>
      <c r="B267" s="20" t="s">
        <v>1556</v>
      </c>
      <c r="C267" s="21" t="s">
        <v>1493</v>
      </c>
    </row>
    <row r="268" spans="1:3" ht="45" x14ac:dyDescent="0.25">
      <c r="A268" s="20" t="s">
        <v>1235</v>
      </c>
      <c r="B268" s="20" t="s">
        <v>1557</v>
      </c>
      <c r="C268" s="21" t="s">
        <v>1558</v>
      </c>
    </row>
    <row r="269" spans="1:3" ht="45" x14ac:dyDescent="0.25">
      <c r="A269" s="20" t="s">
        <v>1235</v>
      </c>
      <c r="B269" s="20" t="s">
        <v>1559</v>
      </c>
      <c r="C269" s="21" t="s">
        <v>1560</v>
      </c>
    </row>
    <row r="270" spans="1:3" ht="45" x14ac:dyDescent="0.25">
      <c r="A270" s="20" t="s">
        <v>1235</v>
      </c>
      <c r="B270" s="20" t="s">
        <v>1561</v>
      </c>
      <c r="C270" s="21" t="s">
        <v>1560</v>
      </c>
    </row>
    <row r="271" spans="1:3" ht="45" x14ac:dyDescent="0.25">
      <c r="A271" s="20" t="s">
        <v>1235</v>
      </c>
      <c r="B271" s="20" t="s">
        <v>1562</v>
      </c>
      <c r="C271" s="21" t="s">
        <v>1560</v>
      </c>
    </row>
    <row r="272" spans="1:3" ht="45" x14ac:dyDescent="0.25">
      <c r="A272" s="20" t="s">
        <v>1235</v>
      </c>
      <c r="B272" s="20" t="s">
        <v>1563</v>
      </c>
      <c r="C272" s="21" t="s">
        <v>1560</v>
      </c>
    </row>
    <row r="273" spans="1:3" ht="30" x14ac:dyDescent="0.25">
      <c r="A273" s="20" t="s">
        <v>1235</v>
      </c>
      <c r="B273" s="20" t="s">
        <v>1564</v>
      </c>
      <c r="C273" s="20" t="s">
        <v>1565</v>
      </c>
    </row>
    <row r="274" spans="1:3" ht="30" x14ac:dyDescent="0.25">
      <c r="A274" s="20" t="s">
        <v>1235</v>
      </c>
      <c r="B274" s="20" t="s">
        <v>1566</v>
      </c>
      <c r="C274" s="21" t="s">
        <v>1567</v>
      </c>
    </row>
    <row r="275" spans="1:3" x14ac:dyDescent="0.25">
      <c r="A275" s="20" t="s">
        <v>1235</v>
      </c>
      <c r="B275" s="20" t="s">
        <v>1568</v>
      </c>
      <c r="C275" s="20" t="s">
        <v>1569</v>
      </c>
    </row>
    <row r="276" spans="1:3" ht="30" x14ac:dyDescent="0.25">
      <c r="A276" s="20" t="s">
        <v>1235</v>
      </c>
      <c r="B276" s="20" t="s">
        <v>1570</v>
      </c>
      <c r="C276" s="21" t="s">
        <v>1567</v>
      </c>
    </row>
    <row r="277" spans="1:3" ht="30" x14ac:dyDescent="0.25">
      <c r="A277" s="20" t="s">
        <v>1235</v>
      </c>
      <c r="B277" s="20" t="s">
        <v>1571</v>
      </c>
      <c r="C277" s="21" t="s">
        <v>1567</v>
      </c>
    </row>
    <row r="278" spans="1:3" ht="30" x14ac:dyDescent="0.25">
      <c r="A278" s="20" t="s">
        <v>1235</v>
      </c>
      <c r="B278" s="20" t="s">
        <v>1572</v>
      </c>
      <c r="C278" s="21" t="s">
        <v>1539</v>
      </c>
    </row>
    <row r="279" spans="1:3" x14ac:dyDescent="0.25">
      <c r="A279" s="20" t="s">
        <v>1235</v>
      </c>
      <c r="B279" s="20" t="s">
        <v>1573</v>
      </c>
      <c r="C279" s="20" t="s">
        <v>1541</v>
      </c>
    </row>
    <row r="280" spans="1:3" ht="30" x14ac:dyDescent="0.25">
      <c r="A280" s="20" t="s">
        <v>1235</v>
      </c>
      <c r="B280" s="20" t="s">
        <v>1574</v>
      </c>
      <c r="C280" s="21" t="s">
        <v>1575</v>
      </c>
    </row>
    <row r="281" spans="1:3" ht="30" x14ac:dyDescent="0.25">
      <c r="A281" s="20" t="s">
        <v>1235</v>
      </c>
      <c r="B281" s="20" t="s">
        <v>1576</v>
      </c>
      <c r="C281" s="21" t="s">
        <v>1575</v>
      </c>
    </row>
    <row r="282" spans="1:3" ht="30" x14ac:dyDescent="0.25">
      <c r="A282" s="20" t="s">
        <v>1235</v>
      </c>
      <c r="B282" s="20" t="s">
        <v>1577</v>
      </c>
      <c r="C282" s="21" t="s">
        <v>1575</v>
      </c>
    </row>
    <row r="283" spans="1:3" ht="30" x14ac:dyDescent="0.25">
      <c r="A283" s="20" t="s">
        <v>1235</v>
      </c>
      <c r="B283" s="20" t="s">
        <v>1578</v>
      </c>
      <c r="C283" s="21" t="s">
        <v>1539</v>
      </c>
    </row>
    <row r="284" spans="1:3" x14ac:dyDescent="0.25">
      <c r="A284" s="20" t="s">
        <v>1235</v>
      </c>
      <c r="B284" s="20" t="s">
        <v>1579</v>
      </c>
      <c r="C284" s="20" t="s">
        <v>1541</v>
      </c>
    </row>
    <row r="285" spans="1:3" ht="30" x14ac:dyDescent="0.25">
      <c r="A285" s="20" t="s">
        <v>1235</v>
      </c>
      <c r="B285" s="20" t="s">
        <v>1580</v>
      </c>
      <c r="C285" s="21" t="s">
        <v>1539</v>
      </c>
    </row>
    <row r="286" spans="1:3" x14ac:dyDescent="0.25">
      <c r="A286" s="20" t="s">
        <v>1235</v>
      </c>
      <c r="B286" s="20" t="s">
        <v>1581</v>
      </c>
      <c r="C286" s="20" t="s">
        <v>1541</v>
      </c>
    </row>
    <row r="287" spans="1:3" ht="30" x14ac:dyDescent="0.25">
      <c r="A287" s="20" t="s">
        <v>1235</v>
      </c>
      <c r="B287" s="20" t="s">
        <v>1582</v>
      </c>
      <c r="C287" s="21" t="s">
        <v>1539</v>
      </c>
    </row>
    <row r="288" spans="1:3" ht="30" x14ac:dyDescent="0.25">
      <c r="A288" s="20" t="s">
        <v>1235</v>
      </c>
      <c r="B288" s="20" t="s">
        <v>1583</v>
      </c>
      <c r="C288" s="20" t="s">
        <v>1541</v>
      </c>
    </row>
    <row r="289" spans="1:3" ht="30" x14ac:dyDescent="0.25">
      <c r="A289" s="20" t="s">
        <v>1235</v>
      </c>
      <c r="B289" s="20" t="s">
        <v>1584</v>
      </c>
      <c r="C289" s="21" t="s">
        <v>1585</v>
      </c>
    </row>
    <row r="290" spans="1:3" ht="30" x14ac:dyDescent="0.25">
      <c r="A290" s="20" t="s">
        <v>1235</v>
      </c>
      <c r="B290" s="20" t="s">
        <v>1586</v>
      </c>
      <c r="C290" s="21" t="s">
        <v>1585</v>
      </c>
    </row>
    <row r="291" spans="1:3" ht="30" x14ac:dyDescent="0.25">
      <c r="A291" s="20" t="s">
        <v>1235</v>
      </c>
      <c r="B291" s="20" t="s">
        <v>1587</v>
      </c>
      <c r="C291" s="21" t="s">
        <v>1539</v>
      </c>
    </row>
    <row r="292" spans="1:3" ht="30" x14ac:dyDescent="0.25">
      <c r="A292" s="20" t="s">
        <v>1235</v>
      </c>
      <c r="B292" s="20" t="s">
        <v>1588</v>
      </c>
      <c r="C292" s="20" t="s">
        <v>1541</v>
      </c>
    </row>
    <row r="293" spans="1:3" ht="30" x14ac:dyDescent="0.25">
      <c r="A293" s="20" t="s">
        <v>1235</v>
      </c>
      <c r="B293" s="20" t="s">
        <v>1589</v>
      </c>
      <c r="C293" s="21" t="s">
        <v>1539</v>
      </c>
    </row>
    <row r="294" spans="1:3" x14ac:dyDescent="0.25">
      <c r="A294" s="20" t="s">
        <v>1235</v>
      </c>
      <c r="B294" s="20" t="s">
        <v>1590</v>
      </c>
      <c r="C294" s="20" t="s">
        <v>1541</v>
      </c>
    </row>
    <row r="295" spans="1:3" ht="30" x14ac:dyDescent="0.25">
      <c r="A295" s="20" t="s">
        <v>1235</v>
      </c>
      <c r="B295" s="20" t="s">
        <v>1591</v>
      </c>
      <c r="C295" s="21" t="s">
        <v>1539</v>
      </c>
    </row>
    <row r="296" spans="1:3" x14ac:dyDescent="0.25">
      <c r="A296" s="20" t="s">
        <v>1235</v>
      </c>
      <c r="B296" s="20" t="s">
        <v>1592</v>
      </c>
      <c r="C296" s="20" t="s">
        <v>1541</v>
      </c>
    </row>
    <row r="297" spans="1:3" ht="30" x14ac:dyDescent="0.25">
      <c r="A297" s="20" t="s">
        <v>1235</v>
      </c>
      <c r="B297" s="20" t="s">
        <v>1593</v>
      </c>
      <c r="C297" s="21" t="s">
        <v>1539</v>
      </c>
    </row>
    <row r="298" spans="1:3" ht="30" x14ac:dyDescent="0.25">
      <c r="A298" s="20" t="s">
        <v>1235</v>
      </c>
      <c r="B298" s="20" t="s">
        <v>1594</v>
      </c>
      <c r="C298" s="20" t="s">
        <v>1541</v>
      </c>
    </row>
    <row r="299" spans="1:3" ht="30" x14ac:dyDescent="0.25">
      <c r="A299" s="20" t="s">
        <v>1235</v>
      </c>
      <c r="B299" s="20" t="s">
        <v>1595</v>
      </c>
      <c r="C299" s="21" t="s">
        <v>1596</v>
      </c>
    </row>
    <row r="300" spans="1:3" ht="30" x14ac:dyDescent="0.25">
      <c r="A300" s="20" t="s">
        <v>1235</v>
      </c>
      <c r="B300" s="20" t="s">
        <v>1597</v>
      </c>
      <c r="C300" s="21" t="s">
        <v>1596</v>
      </c>
    </row>
    <row r="301" spans="1:3" ht="30" x14ac:dyDescent="0.25">
      <c r="A301" s="20" t="s">
        <v>1235</v>
      </c>
      <c r="B301" s="20" t="s">
        <v>1598</v>
      </c>
      <c r="C301" s="21" t="s">
        <v>1596</v>
      </c>
    </row>
    <row r="302" spans="1:3" ht="30" x14ac:dyDescent="0.25">
      <c r="A302" s="20" t="s">
        <v>1235</v>
      </c>
      <c r="B302" s="20" t="s">
        <v>1599</v>
      </c>
      <c r="C302" s="21" t="s">
        <v>1596</v>
      </c>
    </row>
    <row r="303" spans="1:3" ht="30" x14ac:dyDescent="0.25">
      <c r="A303" s="20" t="s">
        <v>1235</v>
      </c>
      <c r="B303" s="20" t="s">
        <v>1600</v>
      </c>
      <c r="C303" s="21" t="s">
        <v>1596</v>
      </c>
    </row>
    <row r="304" spans="1:3" ht="30" x14ac:dyDescent="0.25">
      <c r="A304" s="20" t="s">
        <v>1235</v>
      </c>
      <c r="B304" s="20" t="s">
        <v>1601</v>
      </c>
      <c r="C304" s="21" t="s">
        <v>1596</v>
      </c>
    </row>
    <row r="305" spans="1:3" ht="30" x14ac:dyDescent="0.25">
      <c r="A305" s="20" t="s">
        <v>1235</v>
      </c>
      <c r="B305" s="20" t="s">
        <v>1602</v>
      </c>
      <c r="C305" s="20" t="s">
        <v>1603</v>
      </c>
    </row>
    <row r="306" spans="1:3" ht="30" x14ac:dyDescent="0.25">
      <c r="A306" s="20" t="s">
        <v>1235</v>
      </c>
      <c r="B306" s="20" t="s">
        <v>1604</v>
      </c>
      <c r="C306" s="21" t="s">
        <v>1605</v>
      </c>
    </row>
    <row r="307" spans="1:3" x14ac:dyDescent="0.25">
      <c r="A307" s="20" t="s">
        <v>1235</v>
      </c>
      <c r="B307" s="20" t="s">
        <v>1606</v>
      </c>
      <c r="C307" s="20" t="s">
        <v>1541</v>
      </c>
    </row>
    <row r="308" spans="1:3" x14ac:dyDescent="0.25">
      <c r="A308" s="20" t="s">
        <v>1235</v>
      </c>
      <c r="B308" s="20" t="s">
        <v>1607</v>
      </c>
      <c r="C308" s="20" t="s">
        <v>1541</v>
      </c>
    </row>
    <row r="309" spans="1:3" x14ac:dyDescent="0.25">
      <c r="A309" s="20" t="s">
        <v>1235</v>
      </c>
      <c r="B309" s="20" t="s">
        <v>1608</v>
      </c>
      <c r="C309" s="20" t="s">
        <v>1609</v>
      </c>
    </row>
    <row r="310" spans="1:3" ht="30" x14ac:dyDescent="0.25">
      <c r="A310" s="20" t="s">
        <v>1235</v>
      </c>
      <c r="B310" s="20" t="s">
        <v>1610</v>
      </c>
      <c r="C310" s="21" t="s">
        <v>1539</v>
      </c>
    </row>
    <row r="311" spans="1:3" x14ac:dyDescent="0.25">
      <c r="A311" s="20" t="s">
        <v>1235</v>
      </c>
      <c r="B311" s="20" t="s">
        <v>1611</v>
      </c>
      <c r="C311" s="20" t="s">
        <v>1541</v>
      </c>
    </row>
    <row r="312" spans="1:3" x14ac:dyDescent="0.25">
      <c r="A312" s="20" t="s">
        <v>1235</v>
      </c>
      <c r="B312" s="20" t="s">
        <v>1612</v>
      </c>
      <c r="C312" s="20" t="s">
        <v>1613</v>
      </c>
    </row>
    <row r="313" spans="1:3" x14ac:dyDescent="0.25">
      <c r="A313" s="20" t="s">
        <v>1235</v>
      </c>
      <c r="B313" s="20" t="s">
        <v>1614</v>
      </c>
      <c r="C313" s="20" t="s">
        <v>1613</v>
      </c>
    </row>
    <row r="314" spans="1:3" x14ac:dyDescent="0.25">
      <c r="A314" s="20" t="s">
        <v>1235</v>
      </c>
      <c r="B314" s="20" t="s">
        <v>1615</v>
      </c>
      <c r="C314" s="20" t="s">
        <v>1613</v>
      </c>
    </row>
    <row r="315" spans="1:3" ht="30" x14ac:dyDescent="0.25">
      <c r="A315" s="20" t="s">
        <v>1235</v>
      </c>
      <c r="B315" s="20" t="s">
        <v>1616</v>
      </c>
      <c r="C315" s="21" t="s">
        <v>1617</v>
      </c>
    </row>
    <row r="316" spans="1:3" ht="30" x14ac:dyDescent="0.25">
      <c r="A316" s="20" t="s">
        <v>1235</v>
      </c>
      <c r="B316" s="20" t="s">
        <v>1618</v>
      </c>
      <c r="C316" s="20" t="s">
        <v>1619</v>
      </c>
    </row>
    <row r="317" spans="1:3" ht="30" x14ac:dyDescent="0.25">
      <c r="A317" s="20" t="s">
        <v>1235</v>
      </c>
      <c r="B317" s="20" t="s">
        <v>1620</v>
      </c>
      <c r="C317" s="21" t="s">
        <v>1621</v>
      </c>
    </row>
    <row r="318" spans="1:3" ht="30" x14ac:dyDescent="0.25">
      <c r="A318" s="20" t="s">
        <v>1235</v>
      </c>
      <c r="B318" s="20" t="s">
        <v>1622</v>
      </c>
      <c r="C318" s="21" t="s">
        <v>1623</v>
      </c>
    </row>
    <row r="319" spans="1:3" ht="75" x14ac:dyDescent="0.25">
      <c r="A319" s="20" t="s">
        <v>1235</v>
      </c>
      <c r="B319" s="20" t="s">
        <v>1624</v>
      </c>
      <c r="C319" s="21" t="s">
        <v>1625</v>
      </c>
    </row>
    <row r="320" spans="1:3" ht="105" x14ac:dyDescent="0.25">
      <c r="A320" s="20" t="s">
        <v>1235</v>
      </c>
      <c r="B320" s="20" t="s">
        <v>1626</v>
      </c>
      <c r="C320" s="21" t="s">
        <v>1627</v>
      </c>
    </row>
    <row r="321" spans="1:3" ht="60" x14ac:dyDescent="0.25">
      <c r="A321" s="20" t="s">
        <v>1235</v>
      </c>
      <c r="B321" s="20" t="s">
        <v>1628</v>
      </c>
      <c r="C321" s="21" t="s">
        <v>1629</v>
      </c>
    </row>
    <row r="322" spans="1:3" ht="45" x14ac:dyDescent="0.25">
      <c r="A322" s="20" t="s">
        <v>1235</v>
      </c>
      <c r="B322" s="20" t="s">
        <v>1630</v>
      </c>
      <c r="C322" s="21" t="s">
        <v>1631</v>
      </c>
    </row>
    <row r="323" spans="1:3" ht="75" x14ac:dyDescent="0.25">
      <c r="A323" s="20" t="s">
        <v>1235</v>
      </c>
      <c r="B323" s="20" t="s">
        <v>1632</v>
      </c>
      <c r="C323" s="21" t="s">
        <v>1633</v>
      </c>
    </row>
    <row r="324" spans="1:3" x14ac:dyDescent="0.25">
      <c r="A324" s="20" t="s">
        <v>1235</v>
      </c>
      <c r="B324" s="20" t="s">
        <v>1634</v>
      </c>
      <c r="C324" s="20" t="s">
        <v>1635</v>
      </c>
    </row>
    <row r="325" spans="1:3" ht="45" x14ac:dyDescent="0.25">
      <c r="A325" s="20" t="s">
        <v>1235</v>
      </c>
      <c r="B325" s="20" t="s">
        <v>1636</v>
      </c>
      <c r="C325" s="21" t="s">
        <v>1637</v>
      </c>
    </row>
    <row r="326" spans="1:3" ht="45" x14ac:dyDescent="0.25">
      <c r="A326" s="20" t="s">
        <v>1235</v>
      </c>
      <c r="B326" s="20" t="s">
        <v>1638</v>
      </c>
      <c r="C326" s="21" t="s">
        <v>1637</v>
      </c>
    </row>
    <row r="327" spans="1:3" ht="30" x14ac:dyDescent="0.25">
      <c r="A327" s="20" t="s">
        <v>1235</v>
      </c>
      <c r="B327" s="20" t="s">
        <v>1639</v>
      </c>
      <c r="C327" s="21" t="s">
        <v>1623</v>
      </c>
    </row>
    <row r="328" spans="1:3" ht="30" x14ac:dyDescent="0.25">
      <c r="A328" s="20" t="s">
        <v>1235</v>
      </c>
      <c r="B328" s="20" t="s">
        <v>1640</v>
      </c>
      <c r="C328" s="21" t="s">
        <v>1567</v>
      </c>
    </row>
    <row r="329" spans="1:3" ht="30" x14ac:dyDescent="0.25">
      <c r="A329" s="20" t="s">
        <v>1235</v>
      </c>
      <c r="B329" s="20" t="s">
        <v>1641</v>
      </c>
      <c r="C329" s="21" t="s">
        <v>1642</v>
      </c>
    </row>
    <row r="330" spans="1:3" ht="30" x14ac:dyDescent="0.25">
      <c r="A330" s="20" t="s">
        <v>1235</v>
      </c>
      <c r="B330" s="20" t="s">
        <v>1643</v>
      </c>
      <c r="C330" s="20" t="s">
        <v>1644</v>
      </c>
    </row>
    <row r="331" spans="1:3" ht="45" x14ac:dyDescent="0.25">
      <c r="A331" s="20" t="s">
        <v>1235</v>
      </c>
      <c r="B331" s="20" t="s">
        <v>1645</v>
      </c>
      <c r="C331" s="21" t="s">
        <v>1637</v>
      </c>
    </row>
    <row r="332" spans="1:3" ht="45" x14ac:dyDescent="0.25">
      <c r="A332" s="20" t="s">
        <v>1235</v>
      </c>
      <c r="B332" s="20" t="s">
        <v>1646</v>
      </c>
      <c r="C332" s="21" t="s">
        <v>1637</v>
      </c>
    </row>
    <row r="333" spans="1:3" ht="30" x14ac:dyDescent="0.25">
      <c r="A333" s="20" t="s">
        <v>1235</v>
      </c>
      <c r="B333" s="20" t="s">
        <v>1647</v>
      </c>
      <c r="C333" s="21" t="s">
        <v>1617</v>
      </c>
    </row>
    <row r="334" spans="1:3" ht="30" x14ac:dyDescent="0.25">
      <c r="A334" s="20" t="s">
        <v>1235</v>
      </c>
      <c r="B334" s="20" t="s">
        <v>1648</v>
      </c>
      <c r="C334" s="20" t="s">
        <v>1619</v>
      </c>
    </row>
    <row r="335" spans="1:3" ht="30" x14ac:dyDescent="0.25">
      <c r="A335" s="20" t="s">
        <v>1235</v>
      </c>
      <c r="B335" s="20" t="s">
        <v>1649</v>
      </c>
      <c r="C335" s="21" t="s">
        <v>1621</v>
      </c>
    </row>
    <row r="336" spans="1:3" ht="30" x14ac:dyDescent="0.25">
      <c r="A336" s="20" t="s">
        <v>1235</v>
      </c>
      <c r="B336" s="20" t="s">
        <v>1650</v>
      </c>
      <c r="C336" s="21" t="s">
        <v>1623</v>
      </c>
    </row>
    <row r="337" spans="1:3" ht="75" x14ac:dyDescent="0.25">
      <c r="A337" s="20" t="s">
        <v>1235</v>
      </c>
      <c r="B337" s="20" t="s">
        <v>1651</v>
      </c>
      <c r="C337" s="21" t="s">
        <v>1625</v>
      </c>
    </row>
    <row r="338" spans="1:3" ht="105" x14ac:dyDescent="0.25">
      <c r="A338" s="20" t="s">
        <v>1235</v>
      </c>
      <c r="B338" s="20" t="s">
        <v>1652</v>
      </c>
      <c r="C338" s="21" t="s">
        <v>1627</v>
      </c>
    </row>
    <row r="339" spans="1:3" ht="60" x14ac:dyDescent="0.25">
      <c r="A339" s="20" t="s">
        <v>1235</v>
      </c>
      <c r="B339" s="20" t="s">
        <v>1653</v>
      </c>
      <c r="C339" s="21" t="s">
        <v>1629</v>
      </c>
    </row>
    <row r="340" spans="1:3" ht="45" x14ac:dyDescent="0.25">
      <c r="A340" s="20" t="s">
        <v>1235</v>
      </c>
      <c r="B340" s="20" t="s">
        <v>1654</v>
      </c>
      <c r="C340" s="21" t="s">
        <v>1631</v>
      </c>
    </row>
    <row r="341" spans="1:3" ht="75" x14ac:dyDescent="0.25">
      <c r="A341" s="20" t="s">
        <v>1235</v>
      </c>
      <c r="B341" s="20" t="s">
        <v>1655</v>
      </c>
      <c r="C341" s="21" t="s">
        <v>1633</v>
      </c>
    </row>
    <row r="342" spans="1:3" x14ac:dyDescent="0.25">
      <c r="A342" s="20" t="s">
        <v>1235</v>
      </c>
      <c r="B342" s="20" t="s">
        <v>1656</v>
      </c>
      <c r="C342" s="20" t="s">
        <v>1635</v>
      </c>
    </row>
    <row r="343" spans="1:3" ht="45" x14ac:dyDescent="0.25">
      <c r="A343" s="20" t="s">
        <v>1235</v>
      </c>
      <c r="B343" s="20" t="s">
        <v>1657</v>
      </c>
      <c r="C343" s="21" t="s">
        <v>1637</v>
      </c>
    </row>
    <row r="344" spans="1:3" ht="45" x14ac:dyDescent="0.25">
      <c r="A344" s="20" t="s">
        <v>1235</v>
      </c>
      <c r="B344" s="20" t="s">
        <v>1658</v>
      </c>
      <c r="C344" s="21" t="s">
        <v>1637</v>
      </c>
    </row>
    <row r="345" spans="1:3" ht="30" x14ac:dyDescent="0.25">
      <c r="A345" s="20" t="s">
        <v>1235</v>
      </c>
      <c r="B345" s="20" t="s">
        <v>1659</v>
      </c>
      <c r="C345" s="21" t="s">
        <v>1623</v>
      </c>
    </row>
    <row r="346" spans="1:3" ht="30" x14ac:dyDescent="0.25">
      <c r="A346" s="20" t="s">
        <v>1235</v>
      </c>
      <c r="B346" s="20" t="s">
        <v>1660</v>
      </c>
      <c r="C346" s="21" t="s">
        <v>1567</v>
      </c>
    </row>
    <row r="347" spans="1:3" ht="30" x14ac:dyDescent="0.25">
      <c r="A347" s="20" t="s">
        <v>1235</v>
      </c>
      <c r="B347" s="20" t="s">
        <v>1661</v>
      </c>
      <c r="C347" s="21" t="s">
        <v>1642</v>
      </c>
    </row>
    <row r="348" spans="1:3" ht="30" x14ac:dyDescent="0.25">
      <c r="A348" s="20" t="s">
        <v>1235</v>
      </c>
      <c r="B348" s="20" t="s">
        <v>1662</v>
      </c>
      <c r="C348" s="20" t="s">
        <v>1644</v>
      </c>
    </row>
    <row r="349" spans="1:3" ht="45" x14ac:dyDescent="0.25">
      <c r="A349" s="20" t="s">
        <v>1235</v>
      </c>
      <c r="B349" s="20" t="s">
        <v>1663</v>
      </c>
      <c r="C349" s="21" t="s">
        <v>1637</v>
      </c>
    </row>
    <row r="350" spans="1:3" ht="45" x14ac:dyDescent="0.25">
      <c r="A350" s="20" t="s">
        <v>1235</v>
      </c>
      <c r="B350" s="20" t="s">
        <v>1664</v>
      </c>
      <c r="C350" s="21" t="s">
        <v>1637</v>
      </c>
    </row>
    <row r="351" spans="1:3" ht="30" x14ac:dyDescent="0.25">
      <c r="A351" s="20" t="s">
        <v>1235</v>
      </c>
      <c r="B351" s="20" t="s">
        <v>1665</v>
      </c>
      <c r="C351" s="21" t="s">
        <v>1617</v>
      </c>
    </row>
    <row r="352" spans="1:3" ht="30" x14ac:dyDescent="0.25">
      <c r="A352" s="20" t="s">
        <v>1235</v>
      </c>
      <c r="B352" s="20" t="s">
        <v>1666</v>
      </c>
      <c r="C352" s="20" t="s">
        <v>1619</v>
      </c>
    </row>
    <row r="353" spans="1:3" ht="30" x14ac:dyDescent="0.25">
      <c r="A353" s="20" t="s">
        <v>1235</v>
      </c>
      <c r="B353" s="20" t="s">
        <v>1667</v>
      </c>
      <c r="C353" s="21" t="s">
        <v>1621</v>
      </c>
    </row>
    <row r="354" spans="1:3" ht="30" x14ac:dyDescent="0.25">
      <c r="A354" s="20" t="s">
        <v>1235</v>
      </c>
      <c r="B354" s="20" t="s">
        <v>1668</v>
      </c>
      <c r="C354" s="21" t="s">
        <v>1623</v>
      </c>
    </row>
    <row r="355" spans="1:3" ht="75" x14ac:dyDescent="0.25">
      <c r="A355" s="20" t="s">
        <v>1235</v>
      </c>
      <c r="B355" s="20" t="s">
        <v>1669</v>
      </c>
      <c r="C355" s="21" t="s">
        <v>1625</v>
      </c>
    </row>
    <row r="356" spans="1:3" ht="105" x14ac:dyDescent="0.25">
      <c r="A356" s="20" t="s">
        <v>1235</v>
      </c>
      <c r="B356" s="20" t="s">
        <v>1670</v>
      </c>
      <c r="C356" s="21" t="s">
        <v>1627</v>
      </c>
    </row>
    <row r="357" spans="1:3" ht="60" x14ac:dyDescent="0.25">
      <c r="A357" s="20" t="s">
        <v>1235</v>
      </c>
      <c r="B357" s="20" t="s">
        <v>1671</v>
      </c>
      <c r="C357" s="21" t="s">
        <v>1629</v>
      </c>
    </row>
    <row r="358" spans="1:3" ht="45" x14ac:dyDescent="0.25">
      <c r="A358" s="20" t="s">
        <v>1235</v>
      </c>
      <c r="B358" s="20" t="s">
        <v>1672</v>
      </c>
      <c r="C358" s="21" t="s">
        <v>1631</v>
      </c>
    </row>
    <row r="359" spans="1:3" ht="75" x14ac:dyDescent="0.25">
      <c r="A359" s="20" t="s">
        <v>1235</v>
      </c>
      <c r="B359" s="20" t="s">
        <v>1673</v>
      </c>
      <c r="C359" s="21" t="s">
        <v>1633</v>
      </c>
    </row>
    <row r="360" spans="1:3" x14ac:dyDescent="0.25">
      <c r="A360" s="20" t="s">
        <v>1235</v>
      </c>
      <c r="B360" s="20" t="s">
        <v>1674</v>
      </c>
      <c r="C360" s="20" t="s">
        <v>1635</v>
      </c>
    </row>
    <row r="361" spans="1:3" ht="45" x14ac:dyDescent="0.25">
      <c r="A361" s="20" t="s">
        <v>1235</v>
      </c>
      <c r="B361" s="20" t="s">
        <v>1675</v>
      </c>
      <c r="C361" s="21" t="s">
        <v>1637</v>
      </c>
    </row>
    <row r="362" spans="1:3" ht="45" x14ac:dyDescent="0.25">
      <c r="A362" s="20" t="s">
        <v>1235</v>
      </c>
      <c r="B362" s="20" t="s">
        <v>1676</v>
      </c>
      <c r="C362" s="21" t="s">
        <v>1637</v>
      </c>
    </row>
    <row r="363" spans="1:3" ht="30" x14ac:dyDescent="0.25">
      <c r="A363" s="20" t="s">
        <v>1235</v>
      </c>
      <c r="B363" s="20" t="s">
        <v>1677</v>
      </c>
      <c r="C363" s="21" t="s">
        <v>1623</v>
      </c>
    </row>
    <row r="364" spans="1:3" ht="30" x14ac:dyDescent="0.25">
      <c r="A364" s="20" t="s">
        <v>1235</v>
      </c>
      <c r="B364" s="20" t="s">
        <v>1678</v>
      </c>
      <c r="C364" s="21" t="s">
        <v>1567</v>
      </c>
    </row>
    <row r="365" spans="1:3" ht="30" x14ac:dyDescent="0.25">
      <c r="A365" s="20" t="s">
        <v>1235</v>
      </c>
      <c r="B365" s="20" t="s">
        <v>1679</v>
      </c>
      <c r="C365" s="21" t="s">
        <v>1642</v>
      </c>
    </row>
    <row r="366" spans="1:3" ht="30" x14ac:dyDescent="0.25">
      <c r="A366" s="20" t="s">
        <v>1235</v>
      </c>
      <c r="B366" s="20" t="s">
        <v>1680</v>
      </c>
      <c r="C366" s="20" t="s">
        <v>1644</v>
      </c>
    </row>
    <row r="367" spans="1:3" ht="45" x14ac:dyDescent="0.25">
      <c r="A367" s="20" t="s">
        <v>1235</v>
      </c>
      <c r="B367" s="20" t="s">
        <v>1681</v>
      </c>
      <c r="C367" s="21" t="s">
        <v>1637</v>
      </c>
    </row>
    <row r="368" spans="1:3" ht="45" x14ac:dyDescent="0.25">
      <c r="A368" s="20" t="s">
        <v>1235</v>
      </c>
      <c r="B368" s="20" t="s">
        <v>1682</v>
      </c>
      <c r="C368" s="21" t="s">
        <v>1637</v>
      </c>
    </row>
    <row r="369" spans="1:3" ht="30" x14ac:dyDescent="0.25">
      <c r="A369" s="20" t="s">
        <v>1235</v>
      </c>
      <c r="B369" s="20" t="s">
        <v>1683</v>
      </c>
      <c r="C369" s="21" t="s">
        <v>1617</v>
      </c>
    </row>
    <row r="370" spans="1:3" ht="30" x14ac:dyDescent="0.25">
      <c r="A370" s="20" t="s">
        <v>1235</v>
      </c>
      <c r="B370" s="20" t="s">
        <v>1684</v>
      </c>
      <c r="C370" s="20" t="s">
        <v>1619</v>
      </c>
    </row>
    <row r="371" spans="1:3" ht="30" x14ac:dyDescent="0.25">
      <c r="A371" s="20" t="s">
        <v>1235</v>
      </c>
      <c r="B371" s="20" t="s">
        <v>1685</v>
      </c>
      <c r="C371" s="21" t="s">
        <v>1621</v>
      </c>
    </row>
    <row r="372" spans="1:3" ht="30" x14ac:dyDescent="0.25">
      <c r="A372" s="20" t="s">
        <v>1235</v>
      </c>
      <c r="B372" s="20" t="s">
        <v>1686</v>
      </c>
      <c r="C372" s="21" t="s">
        <v>1623</v>
      </c>
    </row>
    <row r="373" spans="1:3" ht="75" x14ac:dyDescent="0.25">
      <c r="A373" s="20" t="s">
        <v>1235</v>
      </c>
      <c r="B373" s="20" t="s">
        <v>1687</v>
      </c>
      <c r="C373" s="21" t="s">
        <v>1625</v>
      </c>
    </row>
    <row r="374" spans="1:3" ht="105" x14ac:dyDescent="0.25">
      <c r="A374" s="20" t="s">
        <v>1235</v>
      </c>
      <c r="B374" s="20" t="s">
        <v>1688</v>
      </c>
      <c r="C374" s="21" t="s">
        <v>1627</v>
      </c>
    </row>
    <row r="375" spans="1:3" ht="60" x14ac:dyDescent="0.25">
      <c r="A375" s="20" t="s">
        <v>1235</v>
      </c>
      <c r="B375" s="20" t="s">
        <v>1689</v>
      </c>
      <c r="C375" s="21" t="s">
        <v>1629</v>
      </c>
    </row>
    <row r="376" spans="1:3" ht="45" x14ac:dyDescent="0.25">
      <c r="A376" s="20" t="s">
        <v>1235</v>
      </c>
      <c r="B376" s="20" t="s">
        <v>1690</v>
      </c>
      <c r="C376" s="21" t="s">
        <v>1631</v>
      </c>
    </row>
    <row r="377" spans="1:3" ht="75" x14ac:dyDescent="0.25">
      <c r="A377" s="20" t="s">
        <v>1235</v>
      </c>
      <c r="B377" s="20" t="s">
        <v>1691</v>
      </c>
      <c r="C377" s="21" t="s">
        <v>1633</v>
      </c>
    </row>
    <row r="378" spans="1:3" x14ac:dyDescent="0.25">
      <c r="A378" s="20" t="s">
        <v>1235</v>
      </c>
      <c r="B378" s="20" t="s">
        <v>1692</v>
      </c>
      <c r="C378" s="20" t="s">
        <v>1635</v>
      </c>
    </row>
    <row r="379" spans="1:3" ht="45" x14ac:dyDescent="0.25">
      <c r="A379" s="20" t="s">
        <v>1235</v>
      </c>
      <c r="B379" s="20" t="s">
        <v>1693</v>
      </c>
      <c r="C379" s="21" t="s">
        <v>1637</v>
      </c>
    </row>
    <row r="380" spans="1:3" ht="45" x14ac:dyDescent="0.25">
      <c r="A380" s="20" t="s">
        <v>1235</v>
      </c>
      <c r="B380" s="20" t="s">
        <v>1694</v>
      </c>
      <c r="C380" s="21" t="s">
        <v>1637</v>
      </c>
    </row>
    <row r="381" spans="1:3" ht="30" x14ac:dyDescent="0.25">
      <c r="A381" s="20" t="s">
        <v>1235</v>
      </c>
      <c r="B381" s="20" t="s">
        <v>1695</v>
      </c>
      <c r="C381" s="21" t="s">
        <v>1623</v>
      </c>
    </row>
    <row r="382" spans="1:3" ht="30" x14ac:dyDescent="0.25">
      <c r="A382" s="20" t="s">
        <v>1235</v>
      </c>
      <c r="B382" s="20" t="s">
        <v>1696</v>
      </c>
      <c r="C382" s="21" t="s">
        <v>1567</v>
      </c>
    </row>
    <row r="383" spans="1:3" ht="30" x14ac:dyDescent="0.25">
      <c r="A383" s="20" t="s">
        <v>1235</v>
      </c>
      <c r="B383" s="20" t="s">
        <v>1697</v>
      </c>
      <c r="C383" s="21" t="s">
        <v>1642</v>
      </c>
    </row>
    <row r="384" spans="1:3" ht="30" x14ac:dyDescent="0.25">
      <c r="A384" s="20" t="s">
        <v>1235</v>
      </c>
      <c r="B384" s="20" t="s">
        <v>1698</v>
      </c>
      <c r="C384" s="20" t="s">
        <v>1644</v>
      </c>
    </row>
    <row r="385" spans="1:3" ht="45" x14ac:dyDescent="0.25">
      <c r="A385" s="20" t="s">
        <v>1235</v>
      </c>
      <c r="B385" s="20" t="s">
        <v>1699</v>
      </c>
      <c r="C385" s="21" t="s">
        <v>1637</v>
      </c>
    </row>
    <row r="386" spans="1:3" ht="45" x14ac:dyDescent="0.25">
      <c r="A386" s="20" t="s">
        <v>1235</v>
      </c>
      <c r="B386" s="20" t="s">
        <v>1700</v>
      </c>
      <c r="C386" s="21" t="s">
        <v>1637</v>
      </c>
    </row>
    <row r="387" spans="1:3" ht="30" x14ac:dyDescent="0.25">
      <c r="A387" s="20" t="s">
        <v>1235</v>
      </c>
      <c r="B387" s="20" t="s">
        <v>1701</v>
      </c>
      <c r="C387" s="21" t="s">
        <v>1617</v>
      </c>
    </row>
    <row r="388" spans="1:3" ht="30" x14ac:dyDescent="0.25">
      <c r="A388" s="20" t="s">
        <v>1235</v>
      </c>
      <c r="B388" s="20" t="s">
        <v>1702</v>
      </c>
      <c r="C388" s="20" t="s">
        <v>1619</v>
      </c>
    </row>
    <row r="389" spans="1:3" ht="30" x14ac:dyDescent="0.25">
      <c r="A389" s="20" t="s">
        <v>1235</v>
      </c>
      <c r="B389" s="20" t="s">
        <v>1703</v>
      </c>
      <c r="C389" s="21" t="s">
        <v>1621</v>
      </c>
    </row>
    <row r="390" spans="1:3" ht="30" x14ac:dyDescent="0.25">
      <c r="A390" s="20" t="s">
        <v>1235</v>
      </c>
      <c r="B390" s="20" t="s">
        <v>1704</v>
      </c>
      <c r="C390" s="21" t="s">
        <v>1623</v>
      </c>
    </row>
    <row r="391" spans="1:3" ht="75" x14ac:dyDescent="0.25">
      <c r="A391" s="20" t="s">
        <v>1235</v>
      </c>
      <c r="B391" s="20" t="s">
        <v>1705</v>
      </c>
      <c r="C391" s="21" t="s">
        <v>1625</v>
      </c>
    </row>
    <row r="392" spans="1:3" ht="105" x14ac:dyDescent="0.25">
      <c r="A392" s="20" t="s">
        <v>1235</v>
      </c>
      <c r="B392" s="20" t="s">
        <v>1706</v>
      </c>
      <c r="C392" s="21" t="s">
        <v>1627</v>
      </c>
    </row>
    <row r="393" spans="1:3" ht="60" x14ac:dyDescent="0.25">
      <c r="A393" s="20" t="s">
        <v>1235</v>
      </c>
      <c r="B393" s="20" t="s">
        <v>1707</v>
      </c>
      <c r="C393" s="21" t="s">
        <v>1629</v>
      </c>
    </row>
    <row r="394" spans="1:3" ht="45" x14ac:dyDescent="0.25">
      <c r="A394" s="20" t="s">
        <v>1235</v>
      </c>
      <c r="B394" s="20" t="s">
        <v>1708</v>
      </c>
      <c r="C394" s="21" t="s">
        <v>1631</v>
      </c>
    </row>
    <row r="395" spans="1:3" ht="75" x14ac:dyDescent="0.25">
      <c r="A395" s="20" t="s">
        <v>1235</v>
      </c>
      <c r="B395" s="20" t="s">
        <v>1709</v>
      </c>
      <c r="C395" s="21" t="s">
        <v>1633</v>
      </c>
    </row>
    <row r="396" spans="1:3" x14ac:dyDescent="0.25">
      <c r="A396" s="20" t="s">
        <v>1235</v>
      </c>
      <c r="B396" s="20" t="s">
        <v>1710</v>
      </c>
      <c r="C396" s="20" t="s">
        <v>1635</v>
      </c>
    </row>
    <row r="397" spans="1:3" ht="45" x14ac:dyDescent="0.25">
      <c r="A397" s="20" t="s">
        <v>1235</v>
      </c>
      <c r="B397" s="20" t="s">
        <v>1711</v>
      </c>
      <c r="C397" s="21" t="s">
        <v>1637</v>
      </c>
    </row>
    <row r="398" spans="1:3" ht="45" x14ac:dyDescent="0.25">
      <c r="A398" s="20" t="s">
        <v>1235</v>
      </c>
      <c r="B398" s="20" t="s">
        <v>1712</v>
      </c>
      <c r="C398" s="21" t="s">
        <v>1637</v>
      </c>
    </row>
    <row r="399" spans="1:3" ht="30" x14ac:dyDescent="0.25">
      <c r="A399" s="20" t="s">
        <v>1235</v>
      </c>
      <c r="B399" s="20" t="s">
        <v>1713</v>
      </c>
      <c r="C399" s="21" t="s">
        <v>1623</v>
      </c>
    </row>
    <row r="400" spans="1:3" ht="30" x14ac:dyDescent="0.25">
      <c r="A400" s="20" t="s">
        <v>1235</v>
      </c>
      <c r="B400" s="20" t="s">
        <v>1714</v>
      </c>
      <c r="C400" s="21" t="s">
        <v>1567</v>
      </c>
    </row>
    <row r="401" spans="1:3" ht="30" x14ac:dyDescent="0.25">
      <c r="A401" s="20" t="s">
        <v>1235</v>
      </c>
      <c r="B401" s="20" t="s">
        <v>1715</v>
      </c>
      <c r="C401" s="21" t="s">
        <v>1642</v>
      </c>
    </row>
    <row r="402" spans="1:3" ht="30" x14ac:dyDescent="0.25">
      <c r="A402" s="20" t="s">
        <v>1235</v>
      </c>
      <c r="B402" s="20" t="s">
        <v>1716</v>
      </c>
      <c r="C402" s="20" t="s">
        <v>1644</v>
      </c>
    </row>
    <row r="403" spans="1:3" ht="45" x14ac:dyDescent="0.25">
      <c r="A403" s="20" t="s">
        <v>1235</v>
      </c>
      <c r="B403" s="20" t="s">
        <v>1717</v>
      </c>
      <c r="C403" s="21" t="s">
        <v>1637</v>
      </c>
    </row>
    <row r="404" spans="1:3" ht="45" x14ac:dyDescent="0.25">
      <c r="A404" s="20" t="s">
        <v>1235</v>
      </c>
      <c r="B404" s="20" t="s">
        <v>1718</v>
      </c>
      <c r="C404" s="21" t="s">
        <v>1637</v>
      </c>
    </row>
    <row r="405" spans="1:3" ht="30" x14ac:dyDescent="0.25">
      <c r="A405" s="20" t="s">
        <v>1235</v>
      </c>
      <c r="B405" s="20" t="s">
        <v>1719</v>
      </c>
      <c r="C405" s="21" t="s">
        <v>1617</v>
      </c>
    </row>
    <row r="406" spans="1:3" ht="30" x14ac:dyDescent="0.25">
      <c r="A406" s="20" t="s">
        <v>1235</v>
      </c>
      <c r="B406" s="20" t="s">
        <v>1720</v>
      </c>
      <c r="C406" s="20" t="s">
        <v>1619</v>
      </c>
    </row>
    <row r="407" spans="1:3" ht="30" x14ac:dyDescent="0.25">
      <c r="A407" s="20" t="s">
        <v>1235</v>
      </c>
      <c r="B407" s="20" t="s">
        <v>1721</v>
      </c>
      <c r="C407" s="21" t="s">
        <v>1621</v>
      </c>
    </row>
    <row r="408" spans="1:3" ht="30" x14ac:dyDescent="0.25">
      <c r="A408" s="20" t="s">
        <v>1235</v>
      </c>
      <c r="B408" s="20" t="s">
        <v>1722</v>
      </c>
      <c r="C408" s="21" t="s">
        <v>1623</v>
      </c>
    </row>
    <row r="409" spans="1:3" ht="75" x14ac:dyDescent="0.25">
      <c r="A409" s="20" t="s">
        <v>1235</v>
      </c>
      <c r="B409" s="20" t="s">
        <v>1723</v>
      </c>
      <c r="C409" s="21" t="s">
        <v>1625</v>
      </c>
    </row>
    <row r="410" spans="1:3" ht="105" x14ac:dyDescent="0.25">
      <c r="A410" s="20" t="s">
        <v>1235</v>
      </c>
      <c r="B410" s="20" t="s">
        <v>1724</v>
      </c>
      <c r="C410" s="21" t="s">
        <v>1627</v>
      </c>
    </row>
    <row r="411" spans="1:3" ht="60" x14ac:dyDescent="0.25">
      <c r="A411" s="20" t="s">
        <v>1235</v>
      </c>
      <c r="B411" s="20" t="s">
        <v>1725</v>
      </c>
      <c r="C411" s="21" t="s">
        <v>1629</v>
      </c>
    </row>
    <row r="412" spans="1:3" ht="45" x14ac:dyDescent="0.25">
      <c r="A412" s="20" t="s">
        <v>1235</v>
      </c>
      <c r="B412" s="20" t="s">
        <v>1726</v>
      </c>
      <c r="C412" s="21" t="s">
        <v>1631</v>
      </c>
    </row>
    <row r="413" spans="1:3" ht="75" x14ac:dyDescent="0.25">
      <c r="A413" s="20" t="s">
        <v>1235</v>
      </c>
      <c r="B413" s="20" t="s">
        <v>1727</v>
      </c>
      <c r="C413" s="21" t="s">
        <v>1633</v>
      </c>
    </row>
    <row r="414" spans="1:3" x14ac:dyDescent="0.25">
      <c r="A414" s="20" t="s">
        <v>1235</v>
      </c>
      <c r="B414" s="20" t="s">
        <v>1728</v>
      </c>
      <c r="C414" s="20" t="s">
        <v>1635</v>
      </c>
    </row>
    <row r="415" spans="1:3" ht="45" x14ac:dyDescent="0.25">
      <c r="A415" s="20" t="s">
        <v>1235</v>
      </c>
      <c r="B415" s="20" t="s">
        <v>1729</v>
      </c>
      <c r="C415" s="21" t="s">
        <v>1637</v>
      </c>
    </row>
    <row r="416" spans="1:3" ht="45" x14ac:dyDescent="0.25">
      <c r="A416" s="20" t="s">
        <v>1235</v>
      </c>
      <c r="B416" s="20" t="s">
        <v>1730</v>
      </c>
      <c r="C416" s="21" t="s">
        <v>1637</v>
      </c>
    </row>
    <row r="417" spans="1:3" ht="30" x14ac:dyDescent="0.25">
      <c r="A417" s="20" t="s">
        <v>1235</v>
      </c>
      <c r="B417" s="20" t="s">
        <v>1731</v>
      </c>
      <c r="C417" s="21" t="s">
        <v>1623</v>
      </c>
    </row>
    <row r="418" spans="1:3" ht="30" x14ac:dyDescent="0.25">
      <c r="A418" s="20" t="s">
        <v>1235</v>
      </c>
      <c r="B418" s="20" t="s">
        <v>1732</v>
      </c>
      <c r="C418" s="21" t="s">
        <v>1567</v>
      </c>
    </row>
    <row r="419" spans="1:3" ht="30" x14ac:dyDescent="0.25">
      <c r="A419" s="20" t="s">
        <v>1235</v>
      </c>
      <c r="B419" s="20" t="s">
        <v>1733</v>
      </c>
      <c r="C419" s="21" t="s">
        <v>1642</v>
      </c>
    </row>
    <row r="420" spans="1:3" ht="30" x14ac:dyDescent="0.25">
      <c r="A420" s="20" t="s">
        <v>1235</v>
      </c>
      <c r="B420" s="20" t="s">
        <v>1734</v>
      </c>
      <c r="C420" s="20" t="s">
        <v>1644</v>
      </c>
    </row>
    <row r="421" spans="1:3" ht="45" x14ac:dyDescent="0.25">
      <c r="A421" s="20" t="s">
        <v>1235</v>
      </c>
      <c r="B421" s="20" t="s">
        <v>1735</v>
      </c>
      <c r="C421" s="21" t="s">
        <v>1637</v>
      </c>
    </row>
    <row r="422" spans="1:3" ht="45" x14ac:dyDescent="0.25">
      <c r="A422" s="20" t="s">
        <v>1235</v>
      </c>
      <c r="B422" s="20" t="s">
        <v>1736</v>
      </c>
      <c r="C422" s="21" t="s">
        <v>1637</v>
      </c>
    </row>
    <row r="423" spans="1:3" ht="30" x14ac:dyDescent="0.25">
      <c r="A423" s="20" t="s">
        <v>1235</v>
      </c>
      <c r="B423" s="20" t="s">
        <v>1737</v>
      </c>
      <c r="C423" s="20" t="s">
        <v>1738</v>
      </c>
    </row>
    <row r="424" spans="1:3" ht="60" x14ac:dyDescent="0.25">
      <c r="A424" s="20" t="s">
        <v>1235</v>
      </c>
      <c r="B424" s="20" t="s">
        <v>1739</v>
      </c>
      <c r="C424" s="21" t="s">
        <v>1740</v>
      </c>
    </row>
    <row r="425" spans="1:3" ht="60" x14ac:dyDescent="0.25">
      <c r="A425" s="20" t="s">
        <v>1235</v>
      </c>
      <c r="B425" s="20" t="s">
        <v>1741</v>
      </c>
      <c r="C425" s="21" t="s">
        <v>1742</v>
      </c>
    </row>
    <row r="426" spans="1:3" x14ac:dyDescent="0.25">
      <c r="A426" s="20" t="s">
        <v>1235</v>
      </c>
      <c r="B426" s="20" t="s">
        <v>1743</v>
      </c>
      <c r="C426" s="20" t="s">
        <v>1744</v>
      </c>
    </row>
    <row r="427" spans="1:3" ht="75" x14ac:dyDescent="0.25">
      <c r="A427" s="20" t="s">
        <v>1235</v>
      </c>
      <c r="B427" s="20" t="s">
        <v>1745</v>
      </c>
      <c r="C427" s="21" t="s">
        <v>1746</v>
      </c>
    </row>
    <row r="428" spans="1:3" ht="30" x14ac:dyDescent="0.25">
      <c r="A428" s="20" t="s">
        <v>1235</v>
      </c>
      <c r="B428" s="20" t="s">
        <v>1747</v>
      </c>
      <c r="C428" s="20" t="s">
        <v>1748</v>
      </c>
    </row>
    <row r="429" spans="1:3" ht="30" x14ac:dyDescent="0.25">
      <c r="A429" s="20" t="s">
        <v>1235</v>
      </c>
      <c r="B429" s="20" t="s">
        <v>1749</v>
      </c>
      <c r="C429" s="20" t="s">
        <v>1750</v>
      </c>
    </row>
    <row r="430" spans="1:3" ht="45" x14ac:dyDescent="0.25">
      <c r="A430" s="20" t="s">
        <v>1235</v>
      </c>
      <c r="B430" s="20" t="s">
        <v>1751</v>
      </c>
      <c r="C430" s="21" t="s">
        <v>1752</v>
      </c>
    </row>
    <row r="431" spans="1:3" ht="45" x14ac:dyDescent="0.25">
      <c r="A431" s="20" t="s">
        <v>1235</v>
      </c>
      <c r="B431" s="20" t="s">
        <v>1753</v>
      </c>
      <c r="C431" s="21" t="s">
        <v>1752</v>
      </c>
    </row>
    <row r="432" spans="1:3" ht="45" x14ac:dyDescent="0.25">
      <c r="A432" s="20" t="s">
        <v>1235</v>
      </c>
      <c r="B432" s="20" t="s">
        <v>1754</v>
      </c>
      <c r="C432" s="21" t="s">
        <v>1752</v>
      </c>
    </row>
    <row r="433" spans="1:3" ht="45" x14ac:dyDescent="0.25">
      <c r="A433" s="20" t="s">
        <v>1235</v>
      </c>
      <c r="B433" s="20" t="s">
        <v>1755</v>
      </c>
      <c r="C433" s="21" t="s">
        <v>1752</v>
      </c>
    </row>
    <row r="434" spans="1:3" ht="45" x14ac:dyDescent="0.25">
      <c r="A434" s="20" t="s">
        <v>1235</v>
      </c>
      <c r="B434" s="20" t="s">
        <v>1756</v>
      </c>
      <c r="C434" s="21" t="s">
        <v>1752</v>
      </c>
    </row>
    <row r="435" spans="1:3" ht="45" x14ac:dyDescent="0.25">
      <c r="A435" s="20" t="s">
        <v>1235</v>
      </c>
      <c r="B435" s="20" t="s">
        <v>1757</v>
      </c>
      <c r="C435" s="21" t="s">
        <v>1752</v>
      </c>
    </row>
    <row r="436" spans="1:3" ht="45" x14ac:dyDescent="0.25">
      <c r="A436" s="20" t="s">
        <v>1235</v>
      </c>
      <c r="B436" s="20" t="s">
        <v>1758</v>
      </c>
      <c r="C436" s="21" t="s">
        <v>1752</v>
      </c>
    </row>
    <row r="437" spans="1:3" ht="45" x14ac:dyDescent="0.25">
      <c r="A437" s="20" t="s">
        <v>1235</v>
      </c>
      <c r="B437" s="20" t="s">
        <v>1759</v>
      </c>
      <c r="C437" s="21" t="s">
        <v>1752</v>
      </c>
    </row>
    <row r="438" spans="1:3" ht="45" x14ac:dyDescent="0.25">
      <c r="A438" s="20" t="s">
        <v>1235</v>
      </c>
      <c r="B438" s="20" t="s">
        <v>1760</v>
      </c>
      <c r="C438" s="21" t="s">
        <v>1752</v>
      </c>
    </row>
    <row r="439" spans="1:3" ht="45" x14ac:dyDescent="0.25">
      <c r="A439" s="20" t="s">
        <v>1235</v>
      </c>
      <c r="B439" s="20" t="s">
        <v>1761</v>
      </c>
      <c r="C439" s="21" t="s">
        <v>1752</v>
      </c>
    </row>
    <row r="440" spans="1:3" ht="30" x14ac:dyDescent="0.25">
      <c r="A440" s="20" t="s">
        <v>1235</v>
      </c>
      <c r="B440" s="20" t="s">
        <v>1762</v>
      </c>
      <c r="C440" s="21" t="s">
        <v>1763</v>
      </c>
    </row>
    <row r="441" spans="1:3" ht="75" x14ac:dyDescent="0.25">
      <c r="A441" s="20" t="s">
        <v>1235</v>
      </c>
      <c r="B441" s="20" t="s">
        <v>1764</v>
      </c>
      <c r="C441" s="21" t="s">
        <v>1765</v>
      </c>
    </row>
    <row r="442" spans="1:3" ht="45" x14ac:dyDescent="0.25">
      <c r="A442" s="20" t="s">
        <v>1235</v>
      </c>
      <c r="B442" s="20" t="s">
        <v>1766</v>
      </c>
      <c r="C442" s="21" t="s">
        <v>1752</v>
      </c>
    </row>
    <row r="443" spans="1:3" ht="45" x14ac:dyDescent="0.25">
      <c r="A443" s="20" t="s">
        <v>1235</v>
      </c>
      <c r="B443" s="20" t="s">
        <v>1767</v>
      </c>
      <c r="C443" s="21" t="s">
        <v>1752</v>
      </c>
    </row>
    <row r="444" spans="1:3" ht="45" x14ac:dyDescent="0.25">
      <c r="A444" s="20" t="s">
        <v>1235</v>
      </c>
      <c r="B444" s="20" t="s">
        <v>1768</v>
      </c>
      <c r="C444" s="21" t="s">
        <v>1752</v>
      </c>
    </row>
    <row r="445" spans="1:3" ht="45" x14ac:dyDescent="0.25">
      <c r="A445" s="20" t="s">
        <v>1235</v>
      </c>
      <c r="B445" s="20" t="s">
        <v>1769</v>
      </c>
      <c r="C445" s="21" t="s">
        <v>1752</v>
      </c>
    </row>
    <row r="446" spans="1:3" ht="45" x14ac:dyDescent="0.25">
      <c r="A446" s="20" t="s">
        <v>1235</v>
      </c>
      <c r="B446" s="20" t="s">
        <v>1770</v>
      </c>
      <c r="C446" s="21" t="s">
        <v>1752</v>
      </c>
    </row>
    <row r="447" spans="1:3" ht="45" x14ac:dyDescent="0.25">
      <c r="A447" s="20" t="s">
        <v>1235</v>
      </c>
      <c r="B447" s="20" t="s">
        <v>1771</v>
      </c>
      <c r="C447" s="21" t="s">
        <v>1752</v>
      </c>
    </row>
    <row r="448" spans="1:3" ht="45" x14ac:dyDescent="0.25">
      <c r="A448" s="20" t="s">
        <v>1235</v>
      </c>
      <c r="B448" s="20" t="s">
        <v>1772</v>
      </c>
      <c r="C448" s="21" t="s">
        <v>1752</v>
      </c>
    </row>
    <row r="449" spans="1:3" ht="45" x14ac:dyDescent="0.25">
      <c r="A449" s="20" t="s">
        <v>1235</v>
      </c>
      <c r="B449" s="20" t="s">
        <v>1773</v>
      </c>
      <c r="C449" s="21" t="s">
        <v>1752</v>
      </c>
    </row>
    <row r="450" spans="1:3" ht="30" x14ac:dyDescent="0.25">
      <c r="A450" s="20" t="s">
        <v>1235</v>
      </c>
      <c r="B450" s="20" t="s">
        <v>1774</v>
      </c>
      <c r="C450" s="21" t="s">
        <v>1775</v>
      </c>
    </row>
    <row r="451" spans="1:3" ht="30" x14ac:dyDescent="0.25">
      <c r="A451" s="20" t="s">
        <v>1235</v>
      </c>
      <c r="B451" s="20" t="s">
        <v>1776</v>
      </c>
      <c r="C451" s="21" t="s">
        <v>1775</v>
      </c>
    </row>
    <row r="452" spans="1:3" ht="30" x14ac:dyDescent="0.25">
      <c r="A452" s="20" t="s">
        <v>1235</v>
      </c>
      <c r="B452" s="20" t="s">
        <v>1777</v>
      </c>
      <c r="C452" s="21" t="s">
        <v>1775</v>
      </c>
    </row>
    <row r="453" spans="1:3" ht="30" x14ac:dyDescent="0.25">
      <c r="A453" s="20" t="s">
        <v>1235</v>
      </c>
      <c r="B453" s="20" t="s">
        <v>1778</v>
      </c>
      <c r="C453" s="21" t="s">
        <v>1775</v>
      </c>
    </row>
    <row r="454" spans="1:3" ht="30" x14ac:dyDescent="0.25">
      <c r="A454" s="20" t="s">
        <v>1235</v>
      </c>
      <c r="B454" s="20" t="s">
        <v>1779</v>
      </c>
      <c r="C454" s="21" t="s">
        <v>1775</v>
      </c>
    </row>
    <row r="455" spans="1:3" ht="30" x14ac:dyDescent="0.25">
      <c r="A455" s="20" t="s">
        <v>1235</v>
      </c>
      <c r="B455" s="20" t="s">
        <v>1780</v>
      </c>
      <c r="C455" s="21" t="s">
        <v>1775</v>
      </c>
    </row>
    <row r="456" spans="1:3" ht="30" x14ac:dyDescent="0.25">
      <c r="A456" s="20" t="s">
        <v>1235</v>
      </c>
      <c r="B456" s="20" t="s">
        <v>1781</v>
      </c>
      <c r="C456" s="21" t="s">
        <v>1775</v>
      </c>
    </row>
    <row r="457" spans="1:3" ht="30" x14ac:dyDescent="0.25">
      <c r="A457" s="20" t="s">
        <v>1235</v>
      </c>
      <c r="B457" s="20" t="s">
        <v>1782</v>
      </c>
      <c r="C457" s="21" t="s">
        <v>1775</v>
      </c>
    </row>
    <row r="458" spans="1:3" ht="30" x14ac:dyDescent="0.25">
      <c r="A458" s="20" t="s">
        <v>1235</v>
      </c>
      <c r="B458" s="20" t="s">
        <v>1783</v>
      </c>
      <c r="C458" s="21" t="s">
        <v>1775</v>
      </c>
    </row>
    <row r="459" spans="1:3" ht="30" x14ac:dyDescent="0.25">
      <c r="A459" s="20" t="s">
        <v>1235</v>
      </c>
      <c r="B459" s="20" t="s">
        <v>1784</v>
      </c>
      <c r="C459" s="21" t="s">
        <v>1775</v>
      </c>
    </row>
    <row r="460" spans="1:3" ht="30" x14ac:dyDescent="0.25">
      <c r="A460" s="20" t="s">
        <v>1235</v>
      </c>
      <c r="B460" s="20" t="s">
        <v>1785</v>
      </c>
      <c r="C460" s="21" t="s">
        <v>1775</v>
      </c>
    </row>
    <row r="461" spans="1:3" ht="30" x14ac:dyDescent="0.25">
      <c r="A461" s="20" t="s">
        <v>1235</v>
      </c>
      <c r="B461" s="20" t="s">
        <v>1786</v>
      </c>
      <c r="C461" s="21" t="s">
        <v>1787</v>
      </c>
    </row>
    <row r="462" spans="1:3" ht="30" x14ac:dyDescent="0.25">
      <c r="A462" s="20" t="s">
        <v>1235</v>
      </c>
      <c r="B462" s="20" t="s">
        <v>1788</v>
      </c>
      <c r="C462" s="20" t="s">
        <v>1789</v>
      </c>
    </row>
    <row r="463" spans="1:3" ht="30" x14ac:dyDescent="0.25">
      <c r="A463" s="20" t="s">
        <v>1235</v>
      </c>
      <c r="B463" s="20" t="s">
        <v>1790</v>
      </c>
      <c r="C463" s="21" t="s">
        <v>1787</v>
      </c>
    </row>
    <row r="464" spans="1:3" ht="30" x14ac:dyDescent="0.25">
      <c r="A464" s="20" t="s">
        <v>1235</v>
      </c>
      <c r="B464" s="20" t="s">
        <v>1791</v>
      </c>
      <c r="C464" s="20" t="s">
        <v>1789</v>
      </c>
    </row>
    <row r="465" spans="1:3" ht="30" x14ac:dyDescent="0.25">
      <c r="A465" s="20" t="s">
        <v>1235</v>
      </c>
      <c r="B465" s="20" t="s">
        <v>1792</v>
      </c>
      <c r="C465" s="21" t="s">
        <v>1787</v>
      </c>
    </row>
    <row r="466" spans="1:3" ht="30" x14ac:dyDescent="0.25">
      <c r="A466" s="20" t="s">
        <v>1235</v>
      </c>
      <c r="B466" s="20" t="s">
        <v>1793</v>
      </c>
      <c r="C466" s="20" t="s">
        <v>1789</v>
      </c>
    </row>
    <row r="467" spans="1:3" ht="30" x14ac:dyDescent="0.25">
      <c r="A467" s="20" t="s">
        <v>1235</v>
      </c>
      <c r="B467" s="20" t="s">
        <v>1794</v>
      </c>
      <c r="C467" s="21" t="s">
        <v>1787</v>
      </c>
    </row>
    <row r="468" spans="1:3" ht="30" x14ac:dyDescent="0.25">
      <c r="A468" s="20" t="s">
        <v>1235</v>
      </c>
      <c r="B468" s="20" t="s">
        <v>1795</v>
      </c>
      <c r="C468" s="20" t="s">
        <v>1789</v>
      </c>
    </row>
    <row r="469" spans="1:3" ht="30" x14ac:dyDescent="0.25">
      <c r="A469" s="20" t="s">
        <v>1235</v>
      </c>
      <c r="B469" s="20" t="s">
        <v>1796</v>
      </c>
      <c r="C469" s="21" t="s">
        <v>1787</v>
      </c>
    </row>
    <row r="470" spans="1:3" ht="30" x14ac:dyDescent="0.25">
      <c r="A470" s="20" t="s">
        <v>1235</v>
      </c>
      <c r="B470" s="20" t="s">
        <v>1797</v>
      </c>
      <c r="C470" s="20" t="s">
        <v>1789</v>
      </c>
    </row>
    <row r="471" spans="1:3" ht="30" x14ac:dyDescent="0.25">
      <c r="A471" s="20" t="s">
        <v>1235</v>
      </c>
      <c r="B471" s="20" t="s">
        <v>1798</v>
      </c>
      <c r="C471" s="21" t="s">
        <v>1787</v>
      </c>
    </row>
    <row r="472" spans="1:3" ht="30" x14ac:dyDescent="0.25">
      <c r="A472" s="20" t="s">
        <v>1235</v>
      </c>
      <c r="B472" s="20" t="s">
        <v>1799</v>
      </c>
      <c r="C472" s="20" t="s">
        <v>1789</v>
      </c>
    </row>
    <row r="473" spans="1:3" ht="30" x14ac:dyDescent="0.25">
      <c r="A473" s="20" t="s">
        <v>1235</v>
      </c>
      <c r="B473" s="20" t="s">
        <v>1800</v>
      </c>
      <c r="C473" s="21" t="s">
        <v>1787</v>
      </c>
    </row>
    <row r="474" spans="1:3" ht="30" x14ac:dyDescent="0.25">
      <c r="A474" s="20" t="s">
        <v>1235</v>
      </c>
      <c r="B474" s="20" t="s">
        <v>1801</v>
      </c>
      <c r="C474" s="20" t="s">
        <v>1789</v>
      </c>
    </row>
    <row r="475" spans="1:3" ht="60" x14ac:dyDescent="0.25">
      <c r="A475" s="20" t="s">
        <v>1235</v>
      </c>
      <c r="B475" s="20" t="s">
        <v>1802</v>
      </c>
      <c r="C475" s="21" t="s">
        <v>1740</v>
      </c>
    </row>
    <row r="476" spans="1:3" ht="60" x14ac:dyDescent="0.25">
      <c r="A476" s="20" t="s">
        <v>1235</v>
      </c>
      <c r="B476" s="20" t="s">
        <v>1803</v>
      </c>
      <c r="C476" s="21" t="s">
        <v>1740</v>
      </c>
    </row>
    <row r="477" spans="1:3" ht="60" x14ac:dyDescent="0.25">
      <c r="A477" s="20" t="s">
        <v>1235</v>
      </c>
      <c r="B477" s="20" t="s">
        <v>1804</v>
      </c>
      <c r="C477" s="21" t="s">
        <v>1740</v>
      </c>
    </row>
    <row r="478" spans="1:3" ht="45" x14ac:dyDescent="0.25">
      <c r="A478" s="20" t="s">
        <v>1235</v>
      </c>
      <c r="B478" s="20" t="s">
        <v>1805</v>
      </c>
      <c r="C478" s="21" t="s">
        <v>1806</v>
      </c>
    </row>
    <row r="479" spans="1:3" ht="30" x14ac:dyDescent="0.25">
      <c r="A479" s="20" t="s">
        <v>1235</v>
      </c>
      <c r="B479" s="20" t="s">
        <v>1807</v>
      </c>
      <c r="C479" s="20" t="s">
        <v>1808</v>
      </c>
    </row>
    <row r="480" spans="1:3" ht="30" x14ac:dyDescent="0.25">
      <c r="A480" s="20" t="s">
        <v>1235</v>
      </c>
      <c r="B480" s="20" t="s">
        <v>1809</v>
      </c>
      <c r="C480" s="20" t="s">
        <v>1808</v>
      </c>
    </row>
    <row r="481" spans="1:3" ht="30" x14ac:dyDescent="0.25">
      <c r="A481" s="20" t="s">
        <v>1235</v>
      </c>
      <c r="B481" s="20" t="s">
        <v>1810</v>
      </c>
      <c r="C481" s="20" t="s">
        <v>1808</v>
      </c>
    </row>
    <row r="482" spans="1:3" ht="30" x14ac:dyDescent="0.25">
      <c r="A482" s="20" t="s">
        <v>1235</v>
      </c>
      <c r="B482" s="20" t="s">
        <v>1811</v>
      </c>
      <c r="C482" s="20" t="s">
        <v>1808</v>
      </c>
    </row>
    <row r="483" spans="1:3" ht="30" x14ac:dyDescent="0.25">
      <c r="A483" s="20" t="s">
        <v>1235</v>
      </c>
      <c r="B483" s="20" t="s">
        <v>1812</v>
      </c>
      <c r="C483" s="21" t="s">
        <v>1813</v>
      </c>
    </row>
    <row r="484" spans="1:3" ht="30" x14ac:dyDescent="0.25">
      <c r="A484" s="20" t="s">
        <v>1235</v>
      </c>
      <c r="B484" s="20" t="s">
        <v>1814</v>
      </c>
      <c r="C484" s="21" t="s">
        <v>1815</v>
      </c>
    </row>
    <row r="485" spans="1:3" ht="30" x14ac:dyDescent="0.25">
      <c r="A485" s="20" t="s">
        <v>1235</v>
      </c>
      <c r="B485" s="20" t="s">
        <v>1816</v>
      </c>
      <c r="C485" s="20" t="s">
        <v>1817</v>
      </c>
    </row>
    <row r="486" spans="1:3" ht="30" x14ac:dyDescent="0.25">
      <c r="A486" s="20" t="s">
        <v>1235</v>
      </c>
      <c r="B486" s="20" t="s">
        <v>1818</v>
      </c>
      <c r="C486" s="21" t="s">
        <v>1815</v>
      </c>
    </row>
    <row r="487" spans="1:3" ht="30" x14ac:dyDescent="0.25">
      <c r="A487" s="20" t="s">
        <v>1235</v>
      </c>
      <c r="B487" s="20" t="s">
        <v>1819</v>
      </c>
      <c r="C487" s="21" t="s">
        <v>1815</v>
      </c>
    </row>
    <row r="488" spans="1:3" ht="30" x14ac:dyDescent="0.25">
      <c r="A488" s="20" t="s">
        <v>1235</v>
      </c>
      <c r="B488" s="20" t="s">
        <v>1820</v>
      </c>
      <c r="C488" s="21" t="s">
        <v>1787</v>
      </c>
    </row>
    <row r="489" spans="1:3" ht="30" x14ac:dyDescent="0.25">
      <c r="A489" s="20" t="s">
        <v>1235</v>
      </c>
      <c r="B489" s="20" t="s">
        <v>1821</v>
      </c>
      <c r="C489" s="20" t="s">
        <v>1789</v>
      </c>
    </row>
    <row r="490" spans="1:3" ht="30" x14ac:dyDescent="0.25">
      <c r="A490" s="20" t="s">
        <v>1235</v>
      </c>
      <c r="B490" s="20" t="s">
        <v>1822</v>
      </c>
      <c r="C490" s="21" t="s">
        <v>1823</v>
      </c>
    </row>
    <row r="491" spans="1:3" ht="30" x14ac:dyDescent="0.25">
      <c r="A491" s="20" t="s">
        <v>1235</v>
      </c>
      <c r="B491" s="20" t="s">
        <v>1824</v>
      </c>
      <c r="C491" s="21" t="s">
        <v>1823</v>
      </c>
    </row>
    <row r="492" spans="1:3" ht="30" x14ac:dyDescent="0.25">
      <c r="A492" s="20" t="s">
        <v>1235</v>
      </c>
      <c r="B492" s="20" t="s">
        <v>1825</v>
      </c>
      <c r="C492" s="21" t="s">
        <v>1823</v>
      </c>
    </row>
    <row r="493" spans="1:3" ht="30" x14ac:dyDescent="0.25">
      <c r="A493" s="20" t="s">
        <v>1235</v>
      </c>
      <c r="B493" s="20" t="s">
        <v>1826</v>
      </c>
      <c r="C493" s="21" t="s">
        <v>1787</v>
      </c>
    </row>
    <row r="494" spans="1:3" ht="30" x14ac:dyDescent="0.25">
      <c r="A494" s="20" t="s">
        <v>1235</v>
      </c>
      <c r="B494" s="20" t="s">
        <v>1827</v>
      </c>
      <c r="C494" s="20" t="s">
        <v>1789</v>
      </c>
    </row>
    <row r="495" spans="1:3" ht="30" x14ac:dyDescent="0.25">
      <c r="A495" s="20" t="s">
        <v>1235</v>
      </c>
      <c r="B495" s="20" t="s">
        <v>1828</v>
      </c>
      <c r="C495" s="21" t="s">
        <v>1787</v>
      </c>
    </row>
    <row r="496" spans="1:3" ht="30" x14ac:dyDescent="0.25">
      <c r="A496" s="20" t="s">
        <v>1235</v>
      </c>
      <c r="B496" s="20" t="s">
        <v>1829</v>
      </c>
      <c r="C496" s="20" t="s">
        <v>1789</v>
      </c>
    </row>
    <row r="497" spans="1:3" ht="30" x14ac:dyDescent="0.25">
      <c r="A497" s="20" t="s">
        <v>1235</v>
      </c>
      <c r="B497" s="20" t="s">
        <v>1830</v>
      </c>
      <c r="C497" s="21" t="s">
        <v>1787</v>
      </c>
    </row>
    <row r="498" spans="1:3" ht="30" x14ac:dyDescent="0.25">
      <c r="A498" s="20" t="s">
        <v>1235</v>
      </c>
      <c r="B498" s="20" t="s">
        <v>1831</v>
      </c>
      <c r="C498" s="20" t="s">
        <v>1789</v>
      </c>
    </row>
    <row r="499" spans="1:3" ht="30" x14ac:dyDescent="0.25">
      <c r="A499" s="20" t="s">
        <v>1235</v>
      </c>
      <c r="B499" s="20" t="s">
        <v>1832</v>
      </c>
      <c r="C499" s="21" t="s">
        <v>1833</v>
      </c>
    </row>
    <row r="500" spans="1:3" ht="30" x14ac:dyDescent="0.25">
      <c r="A500" s="20" t="s">
        <v>1235</v>
      </c>
      <c r="B500" s="20" t="s">
        <v>1834</v>
      </c>
      <c r="C500" s="21" t="s">
        <v>1833</v>
      </c>
    </row>
    <row r="501" spans="1:3" ht="30" x14ac:dyDescent="0.25">
      <c r="A501" s="20" t="s">
        <v>1235</v>
      </c>
      <c r="B501" s="20" t="s">
        <v>1835</v>
      </c>
      <c r="C501" s="21" t="s">
        <v>1787</v>
      </c>
    </row>
    <row r="502" spans="1:3" ht="30" x14ac:dyDescent="0.25">
      <c r="A502" s="20" t="s">
        <v>1235</v>
      </c>
      <c r="B502" s="20" t="s">
        <v>1836</v>
      </c>
      <c r="C502" s="20" t="s">
        <v>1789</v>
      </c>
    </row>
    <row r="503" spans="1:3" ht="30" x14ac:dyDescent="0.25">
      <c r="A503" s="20" t="s">
        <v>1235</v>
      </c>
      <c r="B503" s="20" t="s">
        <v>1837</v>
      </c>
      <c r="C503" s="21" t="s">
        <v>1787</v>
      </c>
    </row>
    <row r="504" spans="1:3" ht="30" x14ac:dyDescent="0.25">
      <c r="A504" s="20" t="s">
        <v>1235</v>
      </c>
      <c r="B504" s="20" t="s">
        <v>1838</v>
      </c>
      <c r="C504" s="20" t="s">
        <v>1789</v>
      </c>
    </row>
    <row r="505" spans="1:3" ht="30" x14ac:dyDescent="0.25">
      <c r="A505" s="20" t="s">
        <v>1235</v>
      </c>
      <c r="B505" s="20" t="s">
        <v>1839</v>
      </c>
      <c r="C505" s="21" t="s">
        <v>1787</v>
      </c>
    </row>
    <row r="506" spans="1:3" ht="30" x14ac:dyDescent="0.25">
      <c r="A506" s="20" t="s">
        <v>1235</v>
      </c>
      <c r="B506" s="20" t="s">
        <v>1840</v>
      </c>
      <c r="C506" s="20" t="s">
        <v>1789</v>
      </c>
    </row>
    <row r="507" spans="1:3" ht="30" x14ac:dyDescent="0.25">
      <c r="A507" s="20" t="s">
        <v>1235</v>
      </c>
      <c r="B507" s="20" t="s">
        <v>1841</v>
      </c>
      <c r="C507" s="21" t="s">
        <v>1787</v>
      </c>
    </row>
    <row r="508" spans="1:3" ht="30" x14ac:dyDescent="0.25">
      <c r="A508" s="20" t="s">
        <v>1235</v>
      </c>
      <c r="B508" s="20" t="s">
        <v>1842</v>
      </c>
      <c r="C508" s="20" t="s">
        <v>1789</v>
      </c>
    </row>
    <row r="509" spans="1:3" ht="45" x14ac:dyDescent="0.25">
      <c r="A509" s="20" t="s">
        <v>1235</v>
      </c>
      <c r="B509" s="20" t="s">
        <v>1843</v>
      </c>
      <c r="C509" s="21" t="s">
        <v>1844</v>
      </c>
    </row>
    <row r="510" spans="1:3" ht="45" x14ac:dyDescent="0.25">
      <c r="A510" s="20" t="s">
        <v>1235</v>
      </c>
      <c r="B510" s="20" t="s">
        <v>1845</v>
      </c>
      <c r="C510" s="21" t="s">
        <v>1844</v>
      </c>
    </row>
    <row r="511" spans="1:3" ht="45" x14ac:dyDescent="0.25">
      <c r="A511" s="20" t="s">
        <v>1235</v>
      </c>
      <c r="B511" s="20" t="s">
        <v>1846</v>
      </c>
      <c r="C511" s="21" t="s">
        <v>1844</v>
      </c>
    </row>
    <row r="512" spans="1:3" ht="45" x14ac:dyDescent="0.25">
      <c r="A512" s="20" t="s">
        <v>1235</v>
      </c>
      <c r="B512" s="20" t="s">
        <v>1847</v>
      </c>
      <c r="C512" s="21" t="s">
        <v>1844</v>
      </c>
    </row>
    <row r="513" spans="1:3" ht="45" x14ac:dyDescent="0.25">
      <c r="A513" s="20" t="s">
        <v>1235</v>
      </c>
      <c r="B513" s="20" t="s">
        <v>1848</v>
      </c>
      <c r="C513" s="21" t="s">
        <v>1844</v>
      </c>
    </row>
    <row r="514" spans="1:3" ht="45" x14ac:dyDescent="0.25">
      <c r="A514" s="20" t="s">
        <v>1235</v>
      </c>
      <c r="B514" s="20" t="s">
        <v>1849</v>
      </c>
      <c r="C514" s="21" t="s">
        <v>1844</v>
      </c>
    </row>
    <row r="515" spans="1:3" ht="30" x14ac:dyDescent="0.25">
      <c r="A515" s="20" t="s">
        <v>1235</v>
      </c>
      <c r="B515" s="20" t="s">
        <v>1850</v>
      </c>
      <c r="C515" s="20" t="s">
        <v>1851</v>
      </c>
    </row>
    <row r="516" spans="1:3" ht="30" x14ac:dyDescent="0.25">
      <c r="A516" s="20" t="s">
        <v>1235</v>
      </c>
      <c r="B516" s="20" t="s">
        <v>1852</v>
      </c>
      <c r="C516" s="21" t="s">
        <v>1853</v>
      </c>
    </row>
    <row r="517" spans="1:3" x14ac:dyDescent="0.25">
      <c r="A517" s="20" t="s">
        <v>1235</v>
      </c>
      <c r="B517" s="20" t="s">
        <v>1854</v>
      </c>
      <c r="C517" s="20" t="s">
        <v>1855</v>
      </c>
    </row>
    <row r="518" spans="1:3" x14ac:dyDescent="0.25">
      <c r="A518" s="20" t="s">
        <v>1235</v>
      </c>
      <c r="B518" s="20" t="s">
        <v>1856</v>
      </c>
      <c r="C518" s="20" t="s">
        <v>1855</v>
      </c>
    </row>
    <row r="519" spans="1:3" ht="30" x14ac:dyDescent="0.25">
      <c r="A519" s="20" t="s">
        <v>1235</v>
      </c>
      <c r="B519" s="20" t="s">
        <v>1857</v>
      </c>
      <c r="C519" s="20" t="s">
        <v>1858</v>
      </c>
    </row>
    <row r="520" spans="1:3" ht="30" x14ac:dyDescent="0.25">
      <c r="A520" s="20" t="s">
        <v>1235</v>
      </c>
      <c r="B520" s="20" t="s">
        <v>1859</v>
      </c>
      <c r="C520" s="21" t="s">
        <v>1787</v>
      </c>
    </row>
    <row r="521" spans="1:3" ht="30" x14ac:dyDescent="0.25">
      <c r="A521" s="20" t="s">
        <v>1235</v>
      </c>
      <c r="B521" s="20" t="s">
        <v>1860</v>
      </c>
      <c r="C521" s="20" t="s">
        <v>1789</v>
      </c>
    </row>
    <row r="522" spans="1:3" x14ac:dyDescent="0.25">
      <c r="A522" s="20" t="s">
        <v>1235</v>
      </c>
      <c r="B522" s="20" t="s">
        <v>1861</v>
      </c>
      <c r="C522" s="20" t="s">
        <v>1862</v>
      </c>
    </row>
    <row r="523" spans="1:3" x14ac:dyDescent="0.25">
      <c r="A523" s="20" t="s">
        <v>1235</v>
      </c>
      <c r="B523" s="20" t="s">
        <v>1863</v>
      </c>
      <c r="C523" s="20" t="s">
        <v>1862</v>
      </c>
    </row>
    <row r="524" spans="1:3" x14ac:dyDescent="0.25">
      <c r="A524" s="20" t="s">
        <v>1235</v>
      </c>
      <c r="B524" s="20" t="s">
        <v>1864</v>
      </c>
      <c r="C524" s="20" t="s">
        <v>1862</v>
      </c>
    </row>
    <row r="525" spans="1:3" ht="45" x14ac:dyDescent="0.25">
      <c r="A525" s="20" t="s">
        <v>1235</v>
      </c>
      <c r="B525" s="20" t="s">
        <v>1865</v>
      </c>
      <c r="C525" s="21" t="s">
        <v>1866</v>
      </c>
    </row>
    <row r="526" spans="1:3" ht="30" x14ac:dyDescent="0.25">
      <c r="A526" s="20" t="s">
        <v>1235</v>
      </c>
      <c r="B526" s="20" t="s">
        <v>1867</v>
      </c>
      <c r="C526" s="20" t="s">
        <v>1868</v>
      </c>
    </row>
    <row r="527" spans="1:3" ht="60" x14ac:dyDescent="0.25">
      <c r="A527" s="20" t="s">
        <v>1235</v>
      </c>
      <c r="B527" s="20" t="s">
        <v>1869</v>
      </c>
      <c r="C527" s="21" t="s">
        <v>1870</v>
      </c>
    </row>
    <row r="528" spans="1:3" ht="45" x14ac:dyDescent="0.25">
      <c r="A528" s="20" t="s">
        <v>1235</v>
      </c>
      <c r="B528" s="20" t="s">
        <v>1871</v>
      </c>
      <c r="C528" s="21" t="s">
        <v>1872</v>
      </c>
    </row>
    <row r="529" spans="1:3" ht="105" x14ac:dyDescent="0.25">
      <c r="A529" s="20" t="s">
        <v>1235</v>
      </c>
      <c r="B529" s="20" t="s">
        <v>1873</v>
      </c>
      <c r="C529" s="21" t="s">
        <v>1874</v>
      </c>
    </row>
    <row r="530" spans="1:3" ht="75" x14ac:dyDescent="0.25">
      <c r="A530" s="20" t="s">
        <v>1235</v>
      </c>
      <c r="B530" s="20" t="s">
        <v>1875</v>
      </c>
      <c r="C530" s="21" t="s">
        <v>1876</v>
      </c>
    </row>
    <row r="531" spans="1:3" ht="45" x14ac:dyDescent="0.25">
      <c r="A531" s="20" t="s">
        <v>1235</v>
      </c>
      <c r="B531" s="20" t="s">
        <v>1877</v>
      </c>
      <c r="C531" s="21" t="s">
        <v>1878</v>
      </c>
    </row>
    <row r="532" spans="1:3" ht="30" x14ac:dyDescent="0.25">
      <c r="A532" s="20" t="s">
        <v>1235</v>
      </c>
      <c r="B532" s="20" t="s">
        <v>1879</v>
      </c>
      <c r="C532" s="21" t="s">
        <v>1880</v>
      </c>
    </row>
    <row r="533" spans="1:3" ht="30" x14ac:dyDescent="0.25">
      <c r="A533" s="20" t="s">
        <v>1235</v>
      </c>
      <c r="B533" s="20" t="s">
        <v>1881</v>
      </c>
      <c r="C533" s="21" t="s">
        <v>1880</v>
      </c>
    </row>
    <row r="534" spans="1:3" ht="30" x14ac:dyDescent="0.25">
      <c r="A534" s="20" t="s">
        <v>1235</v>
      </c>
      <c r="B534" s="20" t="s">
        <v>1882</v>
      </c>
      <c r="C534" s="21" t="s">
        <v>1883</v>
      </c>
    </row>
    <row r="535" spans="1:3" ht="60" x14ac:dyDescent="0.25">
      <c r="A535" s="20" t="s">
        <v>1235</v>
      </c>
      <c r="B535" s="20" t="s">
        <v>1884</v>
      </c>
      <c r="C535" s="21" t="s">
        <v>1885</v>
      </c>
    </row>
    <row r="536" spans="1:3" ht="60" x14ac:dyDescent="0.25">
      <c r="A536" s="20" t="s">
        <v>1235</v>
      </c>
      <c r="B536" s="20" t="s">
        <v>1886</v>
      </c>
      <c r="C536" s="21" t="s">
        <v>1885</v>
      </c>
    </row>
    <row r="537" spans="1:3" ht="45" x14ac:dyDescent="0.25">
      <c r="A537" s="20" t="s">
        <v>1235</v>
      </c>
      <c r="B537" s="20" t="s">
        <v>1887</v>
      </c>
      <c r="C537" s="21" t="s">
        <v>1872</v>
      </c>
    </row>
    <row r="538" spans="1:3" ht="30" x14ac:dyDescent="0.25">
      <c r="A538" s="20" t="s">
        <v>1235</v>
      </c>
      <c r="B538" s="20" t="s">
        <v>1888</v>
      </c>
      <c r="C538" s="21" t="s">
        <v>1815</v>
      </c>
    </row>
    <row r="539" spans="1:3" ht="30" x14ac:dyDescent="0.25">
      <c r="A539" s="20" t="s">
        <v>1235</v>
      </c>
      <c r="B539" s="20" t="s">
        <v>1889</v>
      </c>
      <c r="C539" s="21" t="s">
        <v>1890</v>
      </c>
    </row>
    <row r="540" spans="1:3" ht="30" x14ac:dyDescent="0.25">
      <c r="A540" s="20" t="s">
        <v>1235</v>
      </c>
      <c r="B540" s="20" t="s">
        <v>1891</v>
      </c>
      <c r="C540" s="21" t="s">
        <v>1890</v>
      </c>
    </row>
    <row r="541" spans="1:3" ht="60" x14ac:dyDescent="0.25">
      <c r="A541" s="20" t="s">
        <v>1235</v>
      </c>
      <c r="B541" s="20" t="s">
        <v>1892</v>
      </c>
      <c r="C541" s="21" t="s">
        <v>1885</v>
      </c>
    </row>
    <row r="542" spans="1:3" ht="60" x14ac:dyDescent="0.25">
      <c r="A542" s="20" t="s">
        <v>1235</v>
      </c>
      <c r="B542" s="20" t="s">
        <v>1893</v>
      </c>
      <c r="C542" s="21" t="s">
        <v>1885</v>
      </c>
    </row>
    <row r="543" spans="1:3" ht="45" x14ac:dyDescent="0.25">
      <c r="A543" s="20" t="s">
        <v>1235</v>
      </c>
      <c r="B543" s="20" t="s">
        <v>1894</v>
      </c>
      <c r="C543" s="21" t="s">
        <v>1866</v>
      </c>
    </row>
    <row r="544" spans="1:3" ht="30" x14ac:dyDescent="0.25">
      <c r="A544" s="20" t="s">
        <v>1235</v>
      </c>
      <c r="B544" s="20" t="s">
        <v>1895</v>
      </c>
      <c r="C544" s="20" t="s">
        <v>1868</v>
      </c>
    </row>
    <row r="545" spans="1:3" ht="60" x14ac:dyDescent="0.25">
      <c r="A545" s="20" t="s">
        <v>1235</v>
      </c>
      <c r="B545" s="20" t="s">
        <v>1896</v>
      </c>
      <c r="C545" s="21" t="s">
        <v>1870</v>
      </c>
    </row>
    <row r="546" spans="1:3" ht="45" x14ac:dyDescent="0.25">
      <c r="A546" s="20" t="s">
        <v>1235</v>
      </c>
      <c r="B546" s="20" t="s">
        <v>1897</v>
      </c>
      <c r="C546" s="21" t="s">
        <v>1872</v>
      </c>
    </row>
    <row r="547" spans="1:3" ht="105" x14ac:dyDescent="0.25">
      <c r="A547" s="20" t="s">
        <v>1235</v>
      </c>
      <c r="B547" s="20" t="s">
        <v>1898</v>
      </c>
      <c r="C547" s="21" t="s">
        <v>1874</v>
      </c>
    </row>
    <row r="548" spans="1:3" ht="75" x14ac:dyDescent="0.25">
      <c r="A548" s="20" t="s">
        <v>1235</v>
      </c>
      <c r="B548" s="20" t="s">
        <v>1899</v>
      </c>
      <c r="C548" s="21" t="s">
        <v>1876</v>
      </c>
    </row>
    <row r="549" spans="1:3" ht="45" x14ac:dyDescent="0.25">
      <c r="A549" s="20" t="s">
        <v>1235</v>
      </c>
      <c r="B549" s="20" t="s">
        <v>1900</v>
      </c>
      <c r="C549" s="21" t="s">
        <v>1878</v>
      </c>
    </row>
    <row r="550" spans="1:3" ht="30" x14ac:dyDescent="0.25">
      <c r="A550" s="20" t="s">
        <v>1235</v>
      </c>
      <c r="B550" s="20" t="s">
        <v>1901</v>
      </c>
      <c r="C550" s="21" t="s">
        <v>1880</v>
      </c>
    </row>
    <row r="551" spans="1:3" ht="30" x14ac:dyDescent="0.25">
      <c r="A551" s="20" t="s">
        <v>1235</v>
      </c>
      <c r="B551" s="20" t="s">
        <v>1902</v>
      </c>
      <c r="C551" s="21" t="s">
        <v>1880</v>
      </c>
    </row>
    <row r="552" spans="1:3" ht="30" x14ac:dyDescent="0.25">
      <c r="A552" s="20" t="s">
        <v>1235</v>
      </c>
      <c r="B552" s="20" t="s">
        <v>1903</v>
      </c>
      <c r="C552" s="21" t="s">
        <v>1883</v>
      </c>
    </row>
    <row r="553" spans="1:3" ht="60" x14ac:dyDescent="0.25">
      <c r="A553" s="20" t="s">
        <v>1235</v>
      </c>
      <c r="B553" s="20" t="s">
        <v>1904</v>
      </c>
      <c r="C553" s="21" t="s">
        <v>1885</v>
      </c>
    </row>
    <row r="554" spans="1:3" ht="60" x14ac:dyDescent="0.25">
      <c r="A554" s="20" t="s">
        <v>1235</v>
      </c>
      <c r="B554" s="20" t="s">
        <v>1905</v>
      </c>
      <c r="C554" s="21" t="s">
        <v>1885</v>
      </c>
    </row>
    <row r="555" spans="1:3" ht="45" x14ac:dyDescent="0.25">
      <c r="A555" s="20" t="s">
        <v>1235</v>
      </c>
      <c r="B555" s="20" t="s">
        <v>1906</v>
      </c>
      <c r="C555" s="21" t="s">
        <v>1872</v>
      </c>
    </row>
    <row r="556" spans="1:3" ht="30" x14ac:dyDescent="0.25">
      <c r="A556" s="20" t="s">
        <v>1235</v>
      </c>
      <c r="B556" s="20" t="s">
        <v>1907</v>
      </c>
      <c r="C556" s="21" t="s">
        <v>1815</v>
      </c>
    </row>
    <row r="557" spans="1:3" ht="30" x14ac:dyDescent="0.25">
      <c r="A557" s="20" t="s">
        <v>1235</v>
      </c>
      <c r="B557" s="20" t="s">
        <v>1908</v>
      </c>
      <c r="C557" s="21" t="s">
        <v>1890</v>
      </c>
    </row>
    <row r="558" spans="1:3" ht="30" x14ac:dyDescent="0.25">
      <c r="A558" s="20" t="s">
        <v>1235</v>
      </c>
      <c r="B558" s="20" t="s">
        <v>1909</v>
      </c>
      <c r="C558" s="21" t="s">
        <v>1890</v>
      </c>
    </row>
    <row r="559" spans="1:3" ht="60" x14ac:dyDescent="0.25">
      <c r="A559" s="20" t="s">
        <v>1235</v>
      </c>
      <c r="B559" s="20" t="s">
        <v>1910</v>
      </c>
      <c r="C559" s="21" t="s">
        <v>1885</v>
      </c>
    </row>
    <row r="560" spans="1:3" ht="60" x14ac:dyDescent="0.25">
      <c r="A560" s="20" t="s">
        <v>1235</v>
      </c>
      <c r="B560" s="20" t="s">
        <v>1911</v>
      </c>
      <c r="C560" s="21" t="s">
        <v>1885</v>
      </c>
    </row>
    <row r="561" spans="1:3" ht="45" x14ac:dyDescent="0.25">
      <c r="A561" s="20" t="s">
        <v>1235</v>
      </c>
      <c r="B561" s="20" t="s">
        <v>1912</v>
      </c>
      <c r="C561" s="21" t="s">
        <v>1866</v>
      </c>
    </row>
    <row r="562" spans="1:3" ht="30" x14ac:dyDescent="0.25">
      <c r="A562" s="20" t="s">
        <v>1235</v>
      </c>
      <c r="B562" s="20" t="s">
        <v>1913</v>
      </c>
      <c r="C562" s="20" t="s">
        <v>1868</v>
      </c>
    </row>
    <row r="563" spans="1:3" ht="60" x14ac:dyDescent="0.25">
      <c r="A563" s="20" t="s">
        <v>1235</v>
      </c>
      <c r="B563" s="20" t="s">
        <v>1914</v>
      </c>
      <c r="C563" s="21" t="s">
        <v>1870</v>
      </c>
    </row>
    <row r="564" spans="1:3" ht="45" x14ac:dyDescent="0.25">
      <c r="A564" s="20" t="s">
        <v>1235</v>
      </c>
      <c r="B564" s="20" t="s">
        <v>1915</v>
      </c>
      <c r="C564" s="21" t="s">
        <v>1872</v>
      </c>
    </row>
    <row r="565" spans="1:3" ht="105" x14ac:dyDescent="0.25">
      <c r="A565" s="20" t="s">
        <v>1235</v>
      </c>
      <c r="B565" s="20" t="s">
        <v>1916</v>
      </c>
      <c r="C565" s="21" t="s">
        <v>1874</v>
      </c>
    </row>
    <row r="566" spans="1:3" ht="75" x14ac:dyDescent="0.25">
      <c r="A566" s="20" t="s">
        <v>1235</v>
      </c>
      <c r="B566" s="20" t="s">
        <v>1917</v>
      </c>
      <c r="C566" s="21" t="s">
        <v>1876</v>
      </c>
    </row>
    <row r="567" spans="1:3" ht="45" x14ac:dyDescent="0.25">
      <c r="A567" s="20" t="s">
        <v>1235</v>
      </c>
      <c r="B567" s="20" t="s">
        <v>1918</v>
      </c>
      <c r="C567" s="21" t="s">
        <v>1878</v>
      </c>
    </row>
    <row r="568" spans="1:3" ht="30" x14ac:dyDescent="0.25">
      <c r="A568" s="20" t="s">
        <v>1235</v>
      </c>
      <c r="B568" s="20" t="s">
        <v>1919</v>
      </c>
      <c r="C568" s="21" t="s">
        <v>1880</v>
      </c>
    </row>
    <row r="569" spans="1:3" ht="30" x14ac:dyDescent="0.25">
      <c r="A569" s="20" t="s">
        <v>1235</v>
      </c>
      <c r="B569" s="20" t="s">
        <v>1920</v>
      </c>
      <c r="C569" s="21" t="s">
        <v>1880</v>
      </c>
    </row>
    <row r="570" spans="1:3" ht="30" x14ac:dyDescent="0.25">
      <c r="A570" s="20" t="s">
        <v>1235</v>
      </c>
      <c r="B570" s="20" t="s">
        <v>1921</v>
      </c>
      <c r="C570" s="21" t="s">
        <v>1883</v>
      </c>
    </row>
    <row r="571" spans="1:3" ht="60" x14ac:dyDescent="0.25">
      <c r="A571" s="20" t="s">
        <v>1235</v>
      </c>
      <c r="B571" s="20" t="s">
        <v>1922</v>
      </c>
      <c r="C571" s="21" t="s">
        <v>1885</v>
      </c>
    </row>
    <row r="572" spans="1:3" ht="60" x14ac:dyDescent="0.25">
      <c r="A572" s="20" t="s">
        <v>1235</v>
      </c>
      <c r="B572" s="20" t="s">
        <v>1923</v>
      </c>
      <c r="C572" s="21" t="s">
        <v>1885</v>
      </c>
    </row>
    <row r="573" spans="1:3" ht="45" x14ac:dyDescent="0.25">
      <c r="A573" s="20" t="s">
        <v>1235</v>
      </c>
      <c r="B573" s="20" t="s">
        <v>1924</v>
      </c>
      <c r="C573" s="21" t="s">
        <v>1872</v>
      </c>
    </row>
    <row r="574" spans="1:3" ht="30" x14ac:dyDescent="0.25">
      <c r="A574" s="20" t="s">
        <v>1235</v>
      </c>
      <c r="B574" s="20" t="s">
        <v>1925</v>
      </c>
      <c r="C574" s="21" t="s">
        <v>1815</v>
      </c>
    </row>
    <row r="575" spans="1:3" ht="30" x14ac:dyDescent="0.25">
      <c r="A575" s="20" t="s">
        <v>1235</v>
      </c>
      <c r="B575" s="20" t="s">
        <v>1926</v>
      </c>
      <c r="C575" s="21" t="s">
        <v>1890</v>
      </c>
    </row>
    <row r="576" spans="1:3" ht="30" x14ac:dyDescent="0.25">
      <c r="A576" s="20" t="s">
        <v>1235</v>
      </c>
      <c r="B576" s="20" t="s">
        <v>1927</v>
      </c>
      <c r="C576" s="21" t="s">
        <v>1890</v>
      </c>
    </row>
    <row r="577" spans="1:3" ht="60" x14ac:dyDescent="0.25">
      <c r="A577" s="20" t="s">
        <v>1235</v>
      </c>
      <c r="B577" s="20" t="s">
        <v>1928</v>
      </c>
      <c r="C577" s="21" t="s">
        <v>1885</v>
      </c>
    </row>
    <row r="578" spans="1:3" ht="60" x14ac:dyDescent="0.25">
      <c r="A578" s="20" t="s">
        <v>1235</v>
      </c>
      <c r="B578" s="20" t="s">
        <v>1929</v>
      </c>
      <c r="C578" s="21" t="s">
        <v>1885</v>
      </c>
    </row>
    <row r="579" spans="1:3" ht="45" x14ac:dyDescent="0.25">
      <c r="A579" s="20" t="s">
        <v>1235</v>
      </c>
      <c r="B579" s="20" t="s">
        <v>1930</v>
      </c>
      <c r="C579" s="21" t="s">
        <v>1866</v>
      </c>
    </row>
    <row r="580" spans="1:3" ht="30" x14ac:dyDescent="0.25">
      <c r="A580" s="20" t="s">
        <v>1235</v>
      </c>
      <c r="B580" s="20" t="s">
        <v>1931</v>
      </c>
      <c r="C580" s="20" t="s">
        <v>1868</v>
      </c>
    </row>
    <row r="581" spans="1:3" ht="60" x14ac:dyDescent="0.25">
      <c r="A581" s="20" t="s">
        <v>1235</v>
      </c>
      <c r="B581" s="20" t="s">
        <v>1932</v>
      </c>
      <c r="C581" s="21" t="s">
        <v>1870</v>
      </c>
    </row>
    <row r="582" spans="1:3" ht="45" x14ac:dyDescent="0.25">
      <c r="A582" s="20" t="s">
        <v>1235</v>
      </c>
      <c r="B582" s="20" t="s">
        <v>1933</v>
      </c>
      <c r="C582" s="21" t="s">
        <v>1872</v>
      </c>
    </row>
    <row r="583" spans="1:3" ht="105" x14ac:dyDescent="0.25">
      <c r="A583" s="20" t="s">
        <v>1235</v>
      </c>
      <c r="B583" s="20" t="s">
        <v>1934</v>
      </c>
      <c r="C583" s="21" t="s">
        <v>1874</v>
      </c>
    </row>
    <row r="584" spans="1:3" ht="75" x14ac:dyDescent="0.25">
      <c r="A584" s="20" t="s">
        <v>1235</v>
      </c>
      <c r="B584" s="20" t="s">
        <v>1935</v>
      </c>
      <c r="C584" s="21" t="s">
        <v>1876</v>
      </c>
    </row>
    <row r="585" spans="1:3" ht="45" x14ac:dyDescent="0.25">
      <c r="A585" s="20" t="s">
        <v>1235</v>
      </c>
      <c r="B585" s="20" t="s">
        <v>1936</v>
      </c>
      <c r="C585" s="21" t="s">
        <v>1878</v>
      </c>
    </row>
    <row r="586" spans="1:3" ht="30" x14ac:dyDescent="0.25">
      <c r="A586" s="20" t="s">
        <v>1235</v>
      </c>
      <c r="B586" s="20" t="s">
        <v>1937</v>
      </c>
      <c r="C586" s="21" t="s">
        <v>1880</v>
      </c>
    </row>
    <row r="587" spans="1:3" ht="30" x14ac:dyDescent="0.25">
      <c r="A587" s="20" t="s">
        <v>1235</v>
      </c>
      <c r="B587" s="20" t="s">
        <v>1938</v>
      </c>
      <c r="C587" s="21" t="s">
        <v>1880</v>
      </c>
    </row>
    <row r="588" spans="1:3" ht="30" x14ac:dyDescent="0.25">
      <c r="A588" s="20" t="s">
        <v>1235</v>
      </c>
      <c r="B588" s="20" t="s">
        <v>1939</v>
      </c>
      <c r="C588" s="21" t="s">
        <v>1883</v>
      </c>
    </row>
    <row r="589" spans="1:3" ht="60" x14ac:dyDescent="0.25">
      <c r="A589" s="20" t="s">
        <v>1235</v>
      </c>
      <c r="B589" s="20" t="s">
        <v>1940</v>
      </c>
      <c r="C589" s="21" t="s">
        <v>1885</v>
      </c>
    </row>
    <row r="590" spans="1:3" ht="60" x14ac:dyDescent="0.25">
      <c r="A590" s="20" t="s">
        <v>1235</v>
      </c>
      <c r="B590" s="20" t="s">
        <v>1941</v>
      </c>
      <c r="C590" s="21" t="s">
        <v>1885</v>
      </c>
    </row>
    <row r="591" spans="1:3" ht="45" x14ac:dyDescent="0.25">
      <c r="A591" s="20" t="s">
        <v>1235</v>
      </c>
      <c r="B591" s="20" t="s">
        <v>1942</v>
      </c>
      <c r="C591" s="21" t="s">
        <v>1872</v>
      </c>
    </row>
    <row r="592" spans="1:3" ht="30" x14ac:dyDescent="0.25">
      <c r="A592" s="20" t="s">
        <v>1235</v>
      </c>
      <c r="B592" s="20" t="s">
        <v>1943</v>
      </c>
      <c r="C592" s="21" t="s">
        <v>1815</v>
      </c>
    </row>
    <row r="593" spans="1:3" ht="30" x14ac:dyDescent="0.25">
      <c r="A593" s="20" t="s">
        <v>1235</v>
      </c>
      <c r="B593" s="20" t="s">
        <v>1944</v>
      </c>
      <c r="C593" s="21" t="s">
        <v>1890</v>
      </c>
    </row>
    <row r="594" spans="1:3" ht="30" x14ac:dyDescent="0.25">
      <c r="A594" s="20" t="s">
        <v>1235</v>
      </c>
      <c r="B594" s="20" t="s">
        <v>1945</v>
      </c>
      <c r="C594" s="21" t="s">
        <v>1890</v>
      </c>
    </row>
    <row r="595" spans="1:3" ht="60" x14ac:dyDescent="0.25">
      <c r="A595" s="20" t="s">
        <v>1235</v>
      </c>
      <c r="B595" s="20" t="s">
        <v>1946</v>
      </c>
      <c r="C595" s="21" t="s">
        <v>1885</v>
      </c>
    </row>
    <row r="596" spans="1:3" ht="60" x14ac:dyDescent="0.25">
      <c r="A596" s="20" t="s">
        <v>1235</v>
      </c>
      <c r="B596" s="20" t="s">
        <v>1947</v>
      </c>
      <c r="C596" s="21" t="s">
        <v>1885</v>
      </c>
    </row>
    <row r="597" spans="1:3" ht="45" x14ac:dyDescent="0.25">
      <c r="A597" s="20" t="s">
        <v>1235</v>
      </c>
      <c r="B597" s="20" t="s">
        <v>1948</v>
      </c>
      <c r="C597" s="21" t="s">
        <v>1866</v>
      </c>
    </row>
    <row r="598" spans="1:3" ht="30" x14ac:dyDescent="0.25">
      <c r="A598" s="20" t="s">
        <v>1235</v>
      </c>
      <c r="B598" s="20" t="s">
        <v>1949</v>
      </c>
      <c r="C598" s="20" t="s">
        <v>1868</v>
      </c>
    </row>
    <row r="599" spans="1:3" ht="60" x14ac:dyDescent="0.25">
      <c r="A599" s="20" t="s">
        <v>1235</v>
      </c>
      <c r="B599" s="20" t="s">
        <v>1950</v>
      </c>
      <c r="C599" s="21" t="s">
        <v>1870</v>
      </c>
    </row>
    <row r="600" spans="1:3" ht="45" x14ac:dyDescent="0.25">
      <c r="A600" s="20" t="s">
        <v>1235</v>
      </c>
      <c r="B600" s="20" t="s">
        <v>1951</v>
      </c>
      <c r="C600" s="21" t="s">
        <v>1872</v>
      </c>
    </row>
    <row r="601" spans="1:3" ht="105" x14ac:dyDescent="0.25">
      <c r="A601" s="20" t="s">
        <v>1235</v>
      </c>
      <c r="B601" s="20" t="s">
        <v>1952</v>
      </c>
      <c r="C601" s="21" t="s">
        <v>1874</v>
      </c>
    </row>
    <row r="602" spans="1:3" ht="75" x14ac:dyDescent="0.25">
      <c r="A602" s="20" t="s">
        <v>1235</v>
      </c>
      <c r="B602" s="20" t="s">
        <v>1953</v>
      </c>
      <c r="C602" s="21" t="s">
        <v>1876</v>
      </c>
    </row>
    <row r="603" spans="1:3" ht="45" x14ac:dyDescent="0.25">
      <c r="A603" s="20" t="s">
        <v>1235</v>
      </c>
      <c r="B603" s="20" t="s">
        <v>1954</v>
      </c>
      <c r="C603" s="21" t="s">
        <v>1878</v>
      </c>
    </row>
    <row r="604" spans="1:3" ht="30" x14ac:dyDescent="0.25">
      <c r="A604" s="20" t="s">
        <v>1235</v>
      </c>
      <c r="B604" s="20" t="s">
        <v>1955</v>
      </c>
      <c r="C604" s="21" t="s">
        <v>1880</v>
      </c>
    </row>
    <row r="605" spans="1:3" ht="30" x14ac:dyDescent="0.25">
      <c r="A605" s="20" t="s">
        <v>1235</v>
      </c>
      <c r="B605" s="20" t="s">
        <v>1956</v>
      </c>
      <c r="C605" s="21" t="s">
        <v>1880</v>
      </c>
    </row>
    <row r="606" spans="1:3" ht="30" x14ac:dyDescent="0.25">
      <c r="A606" s="20" t="s">
        <v>1235</v>
      </c>
      <c r="B606" s="20" t="s">
        <v>1957</v>
      </c>
      <c r="C606" s="21" t="s">
        <v>1883</v>
      </c>
    </row>
    <row r="607" spans="1:3" ht="60" x14ac:dyDescent="0.25">
      <c r="A607" s="20" t="s">
        <v>1235</v>
      </c>
      <c r="B607" s="20" t="s">
        <v>1958</v>
      </c>
      <c r="C607" s="21" t="s">
        <v>1885</v>
      </c>
    </row>
    <row r="608" spans="1:3" ht="60" x14ac:dyDescent="0.25">
      <c r="A608" s="20" t="s">
        <v>1235</v>
      </c>
      <c r="B608" s="20" t="s">
        <v>1959</v>
      </c>
      <c r="C608" s="21" t="s">
        <v>1885</v>
      </c>
    </row>
    <row r="609" spans="1:3" ht="45" x14ac:dyDescent="0.25">
      <c r="A609" s="20" t="s">
        <v>1235</v>
      </c>
      <c r="B609" s="20" t="s">
        <v>1960</v>
      </c>
      <c r="C609" s="21" t="s">
        <v>1872</v>
      </c>
    </row>
    <row r="610" spans="1:3" ht="30" x14ac:dyDescent="0.25">
      <c r="A610" s="20" t="s">
        <v>1235</v>
      </c>
      <c r="B610" s="20" t="s">
        <v>1961</v>
      </c>
      <c r="C610" s="21" t="s">
        <v>1815</v>
      </c>
    </row>
    <row r="611" spans="1:3" ht="30" x14ac:dyDescent="0.25">
      <c r="A611" s="20" t="s">
        <v>1235</v>
      </c>
      <c r="B611" s="20" t="s">
        <v>1962</v>
      </c>
      <c r="C611" s="21" t="s">
        <v>1890</v>
      </c>
    </row>
    <row r="612" spans="1:3" ht="30" x14ac:dyDescent="0.25">
      <c r="A612" s="20" t="s">
        <v>1235</v>
      </c>
      <c r="B612" s="20" t="s">
        <v>1963</v>
      </c>
      <c r="C612" s="21" t="s">
        <v>1890</v>
      </c>
    </row>
    <row r="613" spans="1:3" ht="60" x14ac:dyDescent="0.25">
      <c r="A613" s="20" t="s">
        <v>1235</v>
      </c>
      <c r="B613" s="20" t="s">
        <v>1964</v>
      </c>
      <c r="C613" s="21" t="s">
        <v>1885</v>
      </c>
    </row>
    <row r="614" spans="1:3" ht="60" x14ac:dyDescent="0.25">
      <c r="A614" s="20" t="s">
        <v>1235</v>
      </c>
      <c r="B614" s="20" t="s">
        <v>1965</v>
      </c>
      <c r="C614" s="21" t="s">
        <v>1885</v>
      </c>
    </row>
    <row r="615" spans="1:3" ht="45" x14ac:dyDescent="0.25">
      <c r="A615" s="20" t="s">
        <v>1235</v>
      </c>
      <c r="B615" s="20" t="s">
        <v>1966</v>
      </c>
      <c r="C615" s="21" t="s">
        <v>1866</v>
      </c>
    </row>
    <row r="616" spans="1:3" ht="30" x14ac:dyDescent="0.25">
      <c r="A616" s="20" t="s">
        <v>1235</v>
      </c>
      <c r="B616" s="20" t="s">
        <v>1967</v>
      </c>
      <c r="C616" s="20" t="s">
        <v>1868</v>
      </c>
    </row>
    <row r="617" spans="1:3" ht="60" x14ac:dyDescent="0.25">
      <c r="A617" s="20" t="s">
        <v>1235</v>
      </c>
      <c r="B617" s="20" t="s">
        <v>1968</v>
      </c>
      <c r="C617" s="21" t="s">
        <v>1870</v>
      </c>
    </row>
    <row r="618" spans="1:3" ht="45" x14ac:dyDescent="0.25">
      <c r="A618" s="20" t="s">
        <v>1235</v>
      </c>
      <c r="B618" s="20" t="s">
        <v>1969</v>
      </c>
      <c r="C618" s="21" t="s">
        <v>1872</v>
      </c>
    </row>
    <row r="619" spans="1:3" ht="105" x14ac:dyDescent="0.25">
      <c r="A619" s="20" t="s">
        <v>1235</v>
      </c>
      <c r="B619" s="20" t="s">
        <v>1970</v>
      </c>
      <c r="C619" s="21" t="s">
        <v>1874</v>
      </c>
    </row>
    <row r="620" spans="1:3" ht="75" x14ac:dyDescent="0.25">
      <c r="A620" s="20" t="s">
        <v>1235</v>
      </c>
      <c r="B620" s="20" t="s">
        <v>1971</v>
      </c>
      <c r="C620" s="21" t="s">
        <v>1876</v>
      </c>
    </row>
    <row r="621" spans="1:3" ht="45" x14ac:dyDescent="0.25">
      <c r="A621" s="20" t="s">
        <v>1235</v>
      </c>
      <c r="B621" s="20" t="s">
        <v>1972</v>
      </c>
      <c r="C621" s="21" t="s">
        <v>1878</v>
      </c>
    </row>
    <row r="622" spans="1:3" ht="30" x14ac:dyDescent="0.25">
      <c r="A622" s="20" t="s">
        <v>1235</v>
      </c>
      <c r="B622" s="20" t="s">
        <v>1973</v>
      </c>
      <c r="C622" s="21" t="s">
        <v>1880</v>
      </c>
    </row>
    <row r="623" spans="1:3" ht="30" x14ac:dyDescent="0.25">
      <c r="A623" s="20" t="s">
        <v>1235</v>
      </c>
      <c r="B623" s="20" t="s">
        <v>1974</v>
      </c>
      <c r="C623" s="21" t="s">
        <v>1880</v>
      </c>
    </row>
    <row r="624" spans="1:3" ht="30" x14ac:dyDescent="0.25">
      <c r="A624" s="20" t="s">
        <v>1235</v>
      </c>
      <c r="B624" s="20" t="s">
        <v>1975</v>
      </c>
      <c r="C624" s="21" t="s">
        <v>1883</v>
      </c>
    </row>
    <row r="625" spans="1:3" ht="60" x14ac:dyDescent="0.25">
      <c r="A625" s="20" t="s">
        <v>1235</v>
      </c>
      <c r="B625" s="20" t="s">
        <v>1976</v>
      </c>
      <c r="C625" s="21" t="s">
        <v>1885</v>
      </c>
    </row>
    <row r="626" spans="1:3" ht="60" x14ac:dyDescent="0.25">
      <c r="A626" s="20" t="s">
        <v>1235</v>
      </c>
      <c r="B626" s="20" t="s">
        <v>1977</v>
      </c>
      <c r="C626" s="21" t="s">
        <v>1885</v>
      </c>
    </row>
    <row r="627" spans="1:3" ht="45" x14ac:dyDescent="0.25">
      <c r="A627" s="20" t="s">
        <v>1235</v>
      </c>
      <c r="B627" s="20" t="s">
        <v>1978</v>
      </c>
      <c r="C627" s="21" t="s">
        <v>1872</v>
      </c>
    </row>
    <row r="628" spans="1:3" ht="30" x14ac:dyDescent="0.25">
      <c r="A628" s="20" t="s">
        <v>1235</v>
      </c>
      <c r="B628" s="20" t="s">
        <v>1979</v>
      </c>
      <c r="C628" s="21" t="s">
        <v>1815</v>
      </c>
    </row>
    <row r="629" spans="1:3" ht="30" x14ac:dyDescent="0.25">
      <c r="A629" s="20" t="s">
        <v>1235</v>
      </c>
      <c r="B629" s="20" t="s">
        <v>1980</v>
      </c>
      <c r="C629" s="21" t="s">
        <v>1890</v>
      </c>
    </row>
    <row r="630" spans="1:3" ht="30" x14ac:dyDescent="0.25">
      <c r="A630" s="20" t="s">
        <v>1235</v>
      </c>
      <c r="B630" s="20" t="s">
        <v>1981</v>
      </c>
      <c r="C630" s="21" t="s">
        <v>1890</v>
      </c>
    </row>
    <row r="631" spans="1:3" ht="60" x14ac:dyDescent="0.25">
      <c r="A631" s="20" t="s">
        <v>1235</v>
      </c>
      <c r="B631" s="20" t="s">
        <v>1982</v>
      </c>
      <c r="C631" s="21" t="s">
        <v>1885</v>
      </c>
    </row>
    <row r="632" spans="1:3" ht="60" x14ac:dyDescent="0.25">
      <c r="A632" s="20" t="s">
        <v>1235</v>
      </c>
      <c r="B632" s="20" t="s">
        <v>1983</v>
      </c>
      <c r="C632" s="21" t="s">
        <v>1885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9FE8-C02D-4C49-A79A-57A5238E77CF}">
  <dimension ref="A1:C37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47.5703125" customWidth="1"/>
    <col min="2" max="2" width="47.5703125" style="3" customWidth="1"/>
    <col min="3" max="3" width="67.7109375" style="3" customWidth="1"/>
  </cols>
  <sheetData>
    <row r="1" spans="1:3" x14ac:dyDescent="0.25">
      <c r="A1" s="7" t="s">
        <v>4</v>
      </c>
      <c r="B1" s="8" t="s">
        <v>6</v>
      </c>
      <c r="C1" s="8" t="s">
        <v>1984</v>
      </c>
    </row>
    <row r="2" spans="1:3" ht="45" x14ac:dyDescent="0.25">
      <c r="A2" s="7" t="s">
        <v>12</v>
      </c>
      <c r="B2" s="8" t="s">
        <v>1985</v>
      </c>
      <c r="C2" s="8" t="s">
        <v>1986</v>
      </c>
    </row>
    <row r="3" spans="1:3" ht="30" x14ac:dyDescent="0.25">
      <c r="A3" s="7" t="s">
        <v>22</v>
      </c>
      <c r="B3" s="8" t="s">
        <v>1987</v>
      </c>
      <c r="C3" s="8" t="s">
        <v>1988</v>
      </c>
    </row>
    <row r="4" spans="1:3" ht="60" x14ac:dyDescent="0.25">
      <c r="A4" s="7" t="s">
        <v>30</v>
      </c>
      <c r="B4" s="8" t="s">
        <v>1989</v>
      </c>
      <c r="C4" s="8" t="s">
        <v>1990</v>
      </c>
    </row>
    <row r="5" spans="1:3" ht="45" x14ac:dyDescent="0.25">
      <c r="A5" s="7" t="s">
        <v>33</v>
      </c>
      <c r="B5" s="8" t="s">
        <v>1991</v>
      </c>
      <c r="C5" s="8" t="s">
        <v>1992</v>
      </c>
    </row>
    <row r="6" spans="1:3" ht="45" x14ac:dyDescent="0.25">
      <c r="A6" s="7" t="s">
        <v>73</v>
      </c>
      <c r="B6" s="8" t="s">
        <v>1993</v>
      </c>
      <c r="C6" s="8" t="s">
        <v>1994</v>
      </c>
    </row>
    <row r="7" spans="1:3" ht="30" x14ac:dyDescent="0.25">
      <c r="A7" s="7" t="s">
        <v>35</v>
      </c>
      <c r="B7" s="8" t="s">
        <v>1995</v>
      </c>
      <c r="C7" s="8" t="s">
        <v>1996</v>
      </c>
    </row>
    <row r="8" spans="1:3" ht="30" x14ac:dyDescent="0.25">
      <c r="A8" s="6" t="s">
        <v>37</v>
      </c>
      <c r="B8" s="9" t="s">
        <v>1997</v>
      </c>
      <c r="C8" s="8" t="s">
        <v>1998</v>
      </c>
    </row>
    <row r="9" spans="1:3" ht="30" x14ac:dyDescent="0.25">
      <c r="A9" s="6" t="s">
        <v>39</v>
      </c>
      <c r="B9" s="9" t="s">
        <v>1999</v>
      </c>
      <c r="C9" s="8" t="s">
        <v>2000</v>
      </c>
    </row>
    <row r="10" spans="1:3" x14ac:dyDescent="0.25">
      <c r="A10" s="7" t="s">
        <v>41</v>
      </c>
      <c r="B10" s="8" t="s">
        <v>2001</v>
      </c>
      <c r="C10" s="7" t="s">
        <v>2002</v>
      </c>
    </row>
    <row r="11" spans="1:3" ht="75" x14ac:dyDescent="0.25">
      <c r="A11" s="4" t="s">
        <v>43</v>
      </c>
      <c r="B11" s="22" t="s">
        <v>2003</v>
      </c>
      <c r="C11" s="22" t="s">
        <v>2004</v>
      </c>
    </row>
    <row r="12" spans="1:3" ht="45" x14ac:dyDescent="0.25">
      <c r="A12" s="7" t="s">
        <v>51</v>
      </c>
      <c r="B12" s="8" t="s">
        <v>2005</v>
      </c>
      <c r="C12" s="8" t="s">
        <v>2006</v>
      </c>
    </row>
    <row r="13" spans="1:3" ht="45" x14ac:dyDescent="0.25">
      <c r="A13" s="7" t="s">
        <v>53</v>
      </c>
      <c r="B13" s="8" t="s">
        <v>2007</v>
      </c>
      <c r="C13" s="8" t="s">
        <v>2008</v>
      </c>
    </row>
    <row r="14" spans="1:3" ht="60" x14ac:dyDescent="0.25">
      <c r="A14" s="7" t="s">
        <v>59</v>
      </c>
      <c r="B14" s="8" t="s">
        <v>2009</v>
      </c>
      <c r="C14" s="8" t="s">
        <v>2010</v>
      </c>
    </row>
    <row r="15" spans="1:3" ht="30" x14ac:dyDescent="0.25">
      <c r="A15" s="7" t="s">
        <v>63</v>
      </c>
      <c r="B15" s="8" t="s">
        <v>2011</v>
      </c>
      <c r="C15" s="8" t="s">
        <v>2012</v>
      </c>
    </row>
    <row r="16" spans="1:3" ht="45" x14ac:dyDescent="0.25">
      <c r="A16" s="6" t="s">
        <v>65</v>
      </c>
      <c r="B16" s="22" t="s">
        <v>2013</v>
      </c>
      <c r="C16" s="22" t="s">
        <v>2014</v>
      </c>
    </row>
    <row r="17" spans="1:3" x14ac:dyDescent="0.25">
      <c r="A17" s="6" t="s">
        <v>67</v>
      </c>
      <c r="B17" s="9" t="s">
        <v>2015</v>
      </c>
      <c r="C17" s="8" t="s">
        <v>2016</v>
      </c>
    </row>
    <row r="18" spans="1:3" ht="45" x14ac:dyDescent="0.25">
      <c r="A18" s="7" t="s">
        <v>84</v>
      </c>
      <c r="B18" s="8" t="s">
        <v>2017</v>
      </c>
      <c r="C18" s="8" t="s">
        <v>2018</v>
      </c>
    </row>
    <row r="19" spans="1:3" ht="60" x14ac:dyDescent="0.25">
      <c r="A19" s="7" t="s">
        <v>87</v>
      </c>
      <c r="B19" s="8" t="s">
        <v>2019</v>
      </c>
      <c r="C19" s="8" t="s">
        <v>2020</v>
      </c>
    </row>
    <row r="20" spans="1:3" ht="45" x14ac:dyDescent="0.25">
      <c r="A20" s="6" t="s">
        <v>93</v>
      </c>
      <c r="B20" s="22" t="s">
        <v>2021</v>
      </c>
      <c r="C20" s="22" t="s">
        <v>2022</v>
      </c>
    </row>
    <row r="21" spans="1:3" x14ac:dyDescent="0.25">
      <c r="A21" s="7" t="s">
        <v>100</v>
      </c>
      <c r="B21" s="8" t="s">
        <v>2023</v>
      </c>
      <c r="C21" s="8" t="s">
        <v>2024</v>
      </c>
    </row>
    <row r="22" spans="1:3" ht="60" x14ac:dyDescent="0.25">
      <c r="A22" s="6" t="s">
        <v>101</v>
      </c>
      <c r="B22" s="9" t="s">
        <v>2025</v>
      </c>
      <c r="C22" s="8" t="s">
        <v>2026</v>
      </c>
    </row>
    <row r="23" spans="1:3" x14ac:dyDescent="0.25">
      <c r="A23" s="7" t="s">
        <v>106</v>
      </c>
      <c r="B23" s="8" t="s">
        <v>2027</v>
      </c>
      <c r="C23" s="8" t="s">
        <v>2028</v>
      </c>
    </row>
    <row r="24" spans="1:3" ht="30" x14ac:dyDescent="0.25">
      <c r="A24" s="7" t="s">
        <v>108</v>
      </c>
      <c r="B24" s="8" t="s">
        <v>2029</v>
      </c>
      <c r="C24" s="8" t="s">
        <v>2030</v>
      </c>
    </row>
    <row r="25" spans="1:3" ht="45" x14ac:dyDescent="0.25">
      <c r="A25" s="7" t="s">
        <v>104</v>
      </c>
      <c r="B25" s="22" t="s">
        <v>2031</v>
      </c>
      <c r="C25" s="22" t="s">
        <v>2032</v>
      </c>
    </row>
    <row r="27" spans="1:3" ht="16.5" x14ac:dyDescent="0.3">
      <c r="A27" s="5"/>
      <c r="B27" s="5"/>
      <c r="C27" s="5"/>
    </row>
    <row r="28" spans="1:3" ht="16.5" x14ac:dyDescent="0.3">
      <c r="A28" s="5"/>
      <c r="B28" s="5"/>
      <c r="C28" s="5"/>
    </row>
    <row r="29" spans="1:3" ht="16.5" x14ac:dyDescent="0.3">
      <c r="A29" s="5"/>
      <c r="B29" s="5"/>
      <c r="C29" s="5"/>
    </row>
    <row r="30" spans="1:3" ht="16.5" x14ac:dyDescent="0.3">
      <c r="A30" s="5"/>
      <c r="B30" s="5"/>
      <c r="C30" s="5"/>
    </row>
    <row r="31" spans="1:3" ht="16.5" x14ac:dyDescent="0.3">
      <c r="A31" s="5"/>
      <c r="B31" s="5"/>
      <c r="C31" s="5"/>
    </row>
    <row r="32" spans="1:3" ht="16.5" x14ac:dyDescent="0.3">
      <c r="A32" s="5"/>
      <c r="B32" s="5"/>
      <c r="C32" s="5"/>
    </row>
    <row r="33" spans="1:3" ht="16.5" x14ac:dyDescent="0.3">
      <c r="A33" s="5"/>
      <c r="B33" s="5"/>
      <c r="C33" s="5"/>
    </row>
    <row r="34" spans="1:3" ht="16.5" x14ac:dyDescent="0.3">
      <c r="A34" s="5"/>
      <c r="B34" s="5"/>
      <c r="C34" s="5"/>
    </row>
    <row r="35" spans="1:3" ht="16.5" x14ac:dyDescent="0.3">
      <c r="A35" s="5"/>
      <c r="B35" s="5"/>
      <c r="C35" s="5"/>
    </row>
    <row r="36" spans="1:3" ht="16.5" x14ac:dyDescent="0.3">
      <c r="A36" s="5"/>
      <c r="B36" s="5"/>
      <c r="C36" s="5"/>
    </row>
    <row r="37" spans="1:3" ht="16.5" x14ac:dyDescent="0.3">
      <c r="A37" s="5"/>
      <c r="B37" s="5"/>
      <c r="C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67D0-916D-4112-8C44-8A4FE6DA04A1}">
  <dimension ref="A2:C90"/>
  <sheetViews>
    <sheetView workbookViewId="0">
      <selection activeCell="G9" sqref="G9"/>
    </sheetView>
  </sheetViews>
  <sheetFormatPr baseColWidth="10" defaultColWidth="9.140625" defaultRowHeight="15" x14ac:dyDescent="0.25"/>
  <cols>
    <col min="3" max="3" width="51.42578125" customWidth="1"/>
  </cols>
  <sheetData>
    <row r="2" spans="1:3" x14ac:dyDescent="0.25">
      <c r="A2" t="s">
        <v>2033</v>
      </c>
    </row>
    <row r="3" spans="1:3" x14ac:dyDescent="0.25">
      <c r="A3" t="s">
        <v>14</v>
      </c>
      <c r="B3" t="s">
        <v>10</v>
      </c>
      <c r="C3" t="s">
        <v>16</v>
      </c>
    </row>
    <row r="4" spans="1:3" x14ac:dyDescent="0.25">
      <c r="A4" t="s">
        <v>14</v>
      </c>
      <c r="B4" t="s">
        <v>10</v>
      </c>
      <c r="C4" t="s">
        <v>17</v>
      </c>
    </row>
    <row r="5" spans="1:3" x14ac:dyDescent="0.25">
      <c r="A5" t="s">
        <v>14</v>
      </c>
      <c r="B5" t="s">
        <v>10</v>
      </c>
      <c r="C5" t="s">
        <v>18</v>
      </c>
    </row>
    <row r="6" spans="1:3" x14ac:dyDescent="0.25">
      <c r="A6" t="s">
        <v>14</v>
      </c>
      <c r="B6" t="s">
        <v>10</v>
      </c>
      <c r="C6" t="s">
        <v>19</v>
      </c>
    </row>
    <row r="7" spans="1:3" x14ac:dyDescent="0.25">
      <c r="A7" t="s">
        <v>14</v>
      </c>
      <c r="B7" t="s">
        <v>10</v>
      </c>
      <c r="C7" t="s">
        <v>20</v>
      </c>
    </row>
    <row r="8" spans="1:3" x14ac:dyDescent="0.25">
      <c r="A8" t="s">
        <v>14</v>
      </c>
      <c r="B8" t="s">
        <v>10</v>
      </c>
      <c r="C8" t="s">
        <v>21</v>
      </c>
    </row>
    <row r="9" spans="1:3" x14ac:dyDescent="0.25">
      <c r="A9" t="s">
        <v>14</v>
      </c>
      <c r="B9" t="s">
        <v>10</v>
      </c>
      <c r="C9" t="s">
        <v>23</v>
      </c>
    </row>
    <row r="10" spans="1:3" x14ac:dyDescent="0.25">
      <c r="A10" t="s">
        <v>14</v>
      </c>
      <c r="B10" t="s">
        <v>10</v>
      </c>
      <c r="C10" t="s">
        <v>24</v>
      </c>
    </row>
    <row r="11" spans="1:3" x14ac:dyDescent="0.25">
      <c r="A11" t="s">
        <v>14</v>
      </c>
      <c r="B11" t="s">
        <v>10</v>
      </c>
      <c r="C11" t="s">
        <v>25</v>
      </c>
    </row>
    <row r="12" spans="1:3" x14ac:dyDescent="0.25">
      <c r="A12" t="s">
        <v>14</v>
      </c>
      <c r="B12" t="s">
        <v>10</v>
      </c>
      <c r="C12" t="s">
        <v>26</v>
      </c>
    </row>
    <row r="13" spans="1:3" x14ac:dyDescent="0.25">
      <c r="A13" t="s">
        <v>14</v>
      </c>
      <c r="B13" t="s">
        <v>10</v>
      </c>
      <c r="C13" t="s">
        <v>27</v>
      </c>
    </row>
    <row r="14" spans="1:3" x14ac:dyDescent="0.25">
      <c r="A14" t="s">
        <v>14</v>
      </c>
      <c r="B14" t="s">
        <v>10</v>
      </c>
      <c r="C14" t="s">
        <v>28</v>
      </c>
    </row>
    <row r="15" spans="1:3" x14ac:dyDescent="0.25">
      <c r="A15" t="s">
        <v>14</v>
      </c>
      <c r="B15" t="s">
        <v>10</v>
      </c>
      <c r="C15" t="s">
        <v>29</v>
      </c>
    </row>
    <row r="16" spans="1:3" x14ac:dyDescent="0.25">
      <c r="A16" t="s">
        <v>14</v>
      </c>
      <c r="B16" t="s">
        <v>10</v>
      </c>
      <c r="C16" t="s">
        <v>31</v>
      </c>
    </row>
    <row r="17" spans="1:3" x14ac:dyDescent="0.25">
      <c r="A17" t="s">
        <v>14</v>
      </c>
      <c r="B17" t="s">
        <v>10</v>
      </c>
      <c r="C17" t="s">
        <v>32</v>
      </c>
    </row>
    <row r="18" spans="1:3" x14ac:dyDescent="0.25">
      <c r="A18" t="s">
        <v>14</v>
      </c>
      <c r="B18" t="s">
        <v>10</v>
      </c>
      <c r="C18" t="s">
        <v>34</v>
      </c>
    </row>
    <row r="19" spans="1:3" x14ac:dyDescent="0.25">
      <c r="A19" t="s">
        <v>14</v>
      </c>
      <c r="B19" t="s">
        <v>10</v>
      </c>
      <c r="C19" t="s">
        <v>36</v>
      </c>
    </row>
    <row r="20" spans="1:3" x14ac:dyDescent="0.25">
      <c r="A20" t="s">
        <v>14</v>
      </c>
      <c r="B20" t="s">
        <v>10</v>
      </c>
      <c r="C20" t="s">
        <v>38</v>
      </c>
    </row>
    <row r="21" spans="1:3" x14ac:dyDescent="0.25">
      <c r="A21" t="s">
        <v>14</v>
      </c>
      <c r="B21" t="s">
        <v>10</v>
      </c>
      <c r="C21" t="s">
        <v>40</v>
      </c>
    </row>
    <row r="22" spans="1:3" x14ac:dyDescent="0.25">
      <c r="A22" t="s">
        <v>14</v>
      </c>
      <c r="B22" t="s">
        <v>10</v>
      </c>
      <c r="C22" t="s">
        <v>42</v>
      </c>
    </row>
    <row r="23" spans="1:3" x14ac:dyDescent="0.25">
      <c r="A23" t="s">
        <v>14</v>
      </c>
      <c r="B23" t="s">
        <v>10</v>
      </c>
      <c r="C23" t="s">
        <v>44</v>
      </c>
    </row>
    <row r="24" spans="1:3" x14ac:dyDescent="0.25">
      <c r="A24" t="s">
        <v>14</v>
      </c>
      <c r="B24" t="s">
        <v>10</v>
      </c>
      <c r="C24" t="s">
        <v>45</v>
      </c>
    </row>
    <row r="25" spans="1:3" x14ac:dyDescent="0.25">
      <c r="A25" t="s">
        <v>14</v>
      </c>
      <c r="B25" t="s">
        <v>10</v>
      </c>
      <c r="C25" t="s">
        <v>46</v>
      </c>
    </row>
    <row r="26" spans="1:3" x14ac:dyDescent="0.25">
      <c r="A26" t="s">
        <v>14</v>
      </c>
      <c r="B26" t="s">
        <v>10</v>
      </c>
      <c r="C26" t="s">
        <v>47</v>
      </c>
    </row>
    <row r="27" spans="1:3" x14ac:dyDescent="0.25">
      <c r="A27" t="s">
        <v>14</v>
      </c>
      <c r="B27" t="s">
        <v>10</v>
      </c>
      <c r="C27" t="s">
        <v>48</v>
      </c>
    </row>
    <row r="28" spans="1:3" x14ac:dyDescent="0.25">
      <c r="A28" t="s">
        <v>14</v>
      </c>
      <c r="B28" t="s">
        <v>10</v>
      </c>
      <c r="C28" t="s">
        <v>49</v>
      </c>
    </row>
    <row r="29" spans="1:3" x14ac:dyDescent="0.25">
      <c r="A29" t="s">
        <v>14</v>
      </c>
      <c r="B29" t="s">
        <v>10</v>
      </c>
      <c r="C29" t="s">
        <v>50</v>
      </c>
    </row>
    <row r="30" spans="1:3" x14ac:dyDescent="0.25">
      <c r="A30" t="s">
        <v>14</v>
      </c>
      <c r="B30" t="s">
        <v>10</v>
      </c>
      <c r="C30" t="s">
        <v>52</v>
      </c>
    </row>
    <row r="31" spans="1:3" x14ac:dyDescent="0.25">
      <c r="A31" t="s">
        <v>14</v>
      </c>
      <c r="B31" t="s">
        <v>10</v>
      </c>
      <c r="C31" t="s">
        <v>54</v>
      </c>
    </row>
    <row r="32" spans="1:3" x14ac:dyDescent="0.25">
      <c r="A32" t="s">
        <v>14</v>
      </c>
      <c r="B32" t="s">
        <v>10</v>
      </c>
      <c r="C32" t="s">
        <v>55</v>
      </c>
    </row>
    <row r="33" spans="1:3" x14ac:dyDescent="0.25">
      <c r="A33" t="s">
        <v>14</v>
      </c>
      <c r="B33" t="s">
        <v>10</v>
      </c>
      <c r="C33" t="s">
        <v>56</v>
      </c>
    </row>
    <row r="34" spans="1:3" x14ac:dyDescent="0.25">
      <c r="A34" t="s">
        <v>14</v>
      </c>
      <c r="B34" t="s">
        <v>10</v>
      </c>
      <c r="C34" t="s">
        <v>57</v>
      </c>
    </row>
    <row r="35" spans="1:3" x14ac:dyDescent="0.25">
      <c r="A35" t="s">
        <v>14</v>
      </c>
      <c r="B35" t="s">
        <v>10</v>
      </c>
      <c r="C35" t="s">
        <v>58</v>
      </c>
    </row>
    <row r="36" spans="1:3" x14ac:dyDescent="0.25">
      <c r="A36" t="s">
        <v>14</v>
      </c>
      <c r="B36" t="s">
        <v>10</v>
      </c>
      <c r="C36" t="s">
        <v>60</v>
      </c>
    </row>
    <row r="37" spans="1:3" x14ac:dyDescent="0.25">
      <c r="A37" t="s">
        <v>14</v>
      </c>
      <c r="B37" t="s">
        <v>10</v>
      </c>
      <c r="C37" t="s">
        <v>58</v>
      </c>
    </row>
    <row r="38" spans="1:3" x14ac:dyDescent="0.25">
      <c r="A38" t="s">
        <v>14</v>
      </c>
      <c r="B38" t="s">
        <v>10</v>
      </c>
      <c r="C38" t="s">
        <v>61</v>
      </c>
    </row>
    <row r="39" spans="1:3" x14ac:dyDescent="0.25">
      <c r="A39" t="s">
        <v>14</v>
      </c>
      <c r="B39" t="s">
        <v>10</v>
      </c>
      <c r="C39" t="s">
        <v>62</v>
      </c>
    </row>
    <row r="40" spans="1:3" x14ac:dyDescent="0.25">
      <c r="A40" t="s">
        <v>14</v>
      </c>
      <c r="B40" t="s">
        <v>10</v>
      </c>
      <c r="C40" t="s">
        <v>64</v>
      </c>
    </row>
    <row r="41" spans="1:3" x14ac:dyDescent="0.25">
      <c r="A41" t="s">
        <v>14</v>
      </c>
      <c r="B41" t="s">
        <v>10</v>
      </c>
      <c r="C41" t="s">
        <v>66</v>
      </c>
    </row>
    <row r="42" spans="1:3" x14ac:dyDescent="0.25">
      <c r="A42" t="s">
        <v>14</v>
      </c>
      <c r="B42" t="s">
        <v>10</v>
      </c>
      <c r="C42" t="s">
        <v>68</v>
      </c>
    </row>
    <row r="43" spans="1:3" x14ac:dyDescent="0.25">
      <c r="A43" t="s">
        <v>14</v>
      </c>
      <c r="B43" t="s">
        <v>10</v>
      </c>
      <c r="C43" t="s">
        <v>69</v>
      </c>
    </row>
    <row r="44" spans="1:3" x14ac:dyDescent="0.25">
      <c r="A44" t="s">
        <v>14</v>
      </c>
      <c r="B44" t="s">
        <v>10</v>
      </c>
      <c r="C44" t="s">
        <v>70</v>
      </c>
    </row>
    <row r="45" spans="1:3" x14ac:dyDescent="0.25">
      <c r="A45" t="s">
        <v>14</v>
      </c>
      <c r="B45" t="s">
        <v>10</v>
      </c>
      <c r="C45" t="s">
        <v>71</v>
      </c>
    </row>
    <row r="46" spans="1:3" x14ac:dyDescent="0.25">
      <c r="A46" t="s">
        <v>14</v>
      </c>
      <c r="B46" t="s">
        <v>10</v>
      </c>
      <c r="C46" t="s">
        <v>72</v>
      </c>
    </row>
    <row r="47" spans="1:3" x14ac:dyDescent="0.25">
      <c r="A47" t="s">
        <v>14</v>
      </c>
      <c r="B47" t="s">
        <v>10</v>
      </c>
      <c r="C47" t="s">
        <v>74</v>
      </c>
    </row>
    <row r="48" spans="1:3" x14ac:dyDescent="0.25">
      <c r="A48" t="s">
        <v>14</v>
      </c>
      <c r="B48" t="s">
        <v>10</v>
      </c>
      <c r="C48" t="s">
        <v>75</v>
      </c>
    </row>
    <row r="49" spans="1:3" x14ac:dyDescent="0.25">
      <c r="A49" t="s">
        <v>14</v>
      </c>
      <c r="B49" t="s">
        <v>10</v>
      </c>
      <c r="C49" t="s">
        <v>75</v>
      </c>
    </row>
    <row r="50" spans="1:3" x14ac:dyDescent="0.25">
      <c r="A50" t="s">
        <v>14</v>
      </c>
      <c r="B50" t="s">
        <v>10</v>
      </c>
      <c r="C50" t="s">
        <v>76</v>
      </c>
    </row>
    <row r="51" spans="1:3" x14ac:dyDescent="0.25">
      <c r="A51" t="s">
        <v>14</v>
      </c>
      <c r="B51" t="s">
        <v>10</v>
      </c>
      <c r="C51" t="s">
        <v>77</v>
      </c>
    </row>
    <row r="52" spans="1:3" x14ac:dyDescent="0.25">
      <c r="A52" t="s">
        <v>14</v>
      </c>
      <c r="B52" t="s">
        <v>10</v>
      </c>
      <c r="C52" t="s">
        <v>78</v>
      </c>
    </row>
    <row r="53" spans="1:3" x14ac:dyDescent="0.25">
      <c r="A53" t="s">
        <v>14</v>
      </c>
      <c r="B53" t="s">
        <v>10</v>
      </c>
      <c r="C53" t="s">
        <v>79</v>
      </c>
    </row>
    <row r="54" spans="1:3" x14ac:dyDescent="0.25">
      <c r="A54" t="s">
        <v>14</v>
      </c>
      <c r="B54" t="s">
        <v>10</v>
      </c>
      <c r="C54" t="s">
        <v>77</v>
      </c>
    </row>
    <row r="55" spans="1:3" x14ac:dyDescent="0.25">
      <c r="A55" t="s">
        <v>14</v>
      </c>
      <c r="B55" t="s">
        <v>10</v>
      </c>
      <c r="C55" t="s">
        <v>80</v>
      </c>
    </row>
    <row r="56" spans="1:3" x14ac:dyDescent="0.25">
      <c r="A56" t="s">
        <v>14</v>
      </c>
      <c r="B56" t="s">
        <v>10</v>
      </c>
      <c r="C56" t="s">
        <v>81</v>
      </c>
    </row>
    <row r="57" spans="1:3" x14ac:dyDescent="0.25">
      <c r="A57" t="s">
        <v>14</v>
      </c>
      <c r="B57" t="s">
        <v>10</v>
      </c>
      <c r="C57" t="s">
        <v>82</v>
      </c>
    </row>
    <row r="58" spans="1:3" x14ac:dyDescent="0.25">
      <c r="A58" t="s">
        <v>14</v>
      </c>
      <c r="B58" t="s">
        <v>10</v>
      </c>
      <c r="C58" t="s">
        <v>82</v>
      </c>
    </row>
    <row r="59" spans="1:3" x14ac:dyDescent="0.25">
      <c r="A59" t="s">
        <v>14</v>
      </c>
      <c r="B59" t="s">
        <v>10</v>
      </c>
      <c r="C59" t="s">
        <v>85</v>
      </c>
    </row>
    <row r="60" spans="1:3" x14ac:dyDescent="0.25">
      <c r="A60" t="s">
        <v>14</v>
      </c>
      <c r="B60" t="s">
        <v>10</v>
      </c>
      <c r="C60" t="s">
        <v>86</v>
      </c>
    </row>
    <row r="61" spans="1:3" x14ac:dyDescent="0.25">
      <c r="A61" t="s">
        <v>14</v>
      </c>
      <c r="B61" t="s">
        <v>10</v>
      </c>
      <c r="C61" t="s">
        <v>87</v>
      </c>
    </row>
    <row r="62" spans="1:3" x14ac:dyDescent="0.25">
      <c r="A62" t="s">
        <v>14</v>
      </c>
      <c r="B62" t="s">
        <v>10</v>
      </c>
      <c r="C62" t="s">
        <v>88</v>
      </c>
    </row>
    <row r="63" spans="1:3" x14ac:dyDescent="0.25">
      <c r="A63" t="s">
        <v>14</v>
      </c>
      <c r="B63" t="s">
        <v>10</v>
      </c>
      <c r="C63" t="s">
        <v>89</v>
      </c>
    </row>
    <row r="64" spans="1:3" x14ac:dyDescent="0.25">
      <c r="A64" t="s">
        <v>14</v>
      </c>
      <c r="B64" t="s">
        <v>10</v>
      </c>
      <c r="C64" t="s">
        <v>90</v>
      </c>
    </row>
    <row r="65" spans="1:3" x14ac:dyDescent="0.25">
      <c r="A65" t="s">
        <v>14</v>
      </c>
      <c r="B65" t="s">
        <v>10</v>
      </c>
      <c r="C65" t="s">
        <v>91</v>
      </c>
    </row>
    <row r="66" spans="1:3" x14ac:dyDescent="0.25">
      <c r="A66" t="s">
        <v>14</v>
      </c>
      <c r="B66" t="s">
        <v>10</v>
      </c>
      <c r="C66" t="s">
        <v>92</v>
      </c>
    </row>
    <row r="67" spans="1:3" x14ac:dyDescent="0.25">
      <c r="A67" t="s">
        <v>14</v>
      </c>
      <c r="B67" t="s">
        <v>10</v>
      </c>
      <c r="C67" t="s">
        <v>94</v>
      </c>
    </row>
    <row r="68" spans="1:3" x14ac:dyDescent="0.25">
      <c r="A68" t="s">
        <v>14</v>
      </c>
      <c r="B68" t="s">
        <v>10</v>
      </c>
      <c r="C68" t="s">
        <v>95</v>
      </c>
    </row>
    <row r="69" spans="1:3" x14ac:dyDescent="0.25">
      <c r="A69" t="s">
        <v>14</v>
      </c>
      <c r="B69" t="s">
        <v>10</v>
      </c>
      <c r="C69" t="s">
        <v>96</v>
      </c>
    </row>
    <row r="70" spans="1:3" x14ac:dyDescent="0.25">
      <c r="A70" t="s">
        <v>14</v>
      </c>
      <c r="B70" t="s">
        <v>10</v>
      </c>
      <c r="C70" t="s">
        <v>97</v>
      </c>
    </row>
    <row r="71" spans="1:3" x14ac:dyDescent="0.25">
      <c r="A71" t="s">
        <v>14</v>
      </c>
      <c r="B71" t="s">
        <v>10</v>
      </c>
      <c r="C71" t="s">
        <v>98</v>
      </c>
    </row>
    <row r="72" spans="1:3" x14ac:dyDescent="0.25">
      <c r="A72" t="s">
        <v>14</v>
      </c>
      <c r="B72" t="s">
        <v>10</v>
      </c>
      <c r="C72" t="s">
        <v>99</v>
      </c>
    </row>
    <row r="73" spans="1:3" x14ac:dyDescent="0.25">
      <c r="A73" t="s">
        <v>14</v>
      </c>
      <c r="B73" t="s">
        <v>10</v>
      </c>
      <c r="C73" t="s">
        <v>100</v>
      </c>
    </row>
    <row r="74" spans="1:3" x14ac:dyDescent="0.25">
      <c r="A74" t="s">
        <v>14</v>
      </c>
      <c r="B74" t="s">
        <v>10</v>
      </c>
      <c r="C74" t="s">
        <v>102</v>
      </c>
    </row>
    <row r="75" spans="1:3" x14ac:dyDescent="0.25">
      <c r="A75" t="s">
        <v>14</v>
      </c>
      <c r="B75" t="s">
        <v>10</v>
      </c>
      <c r="C75" t="s">
        <v>103</v>
      </c>
    </row>
    <row r="76" spans="1:3" x14ac:dyDescent="0.25">
      <c r="A76" t="s">
        <v>14</v>
      </c>
      <c r="B76" t="s">
        <v>10</v>
      </c>
      <c r="C76" t="s">
        <v>105</v>
      </c>
    </row>
    <row r="77" spans="1:3" x14ac:dyDescent="0.25">
      <c r="A77" t="s">
        <v>14</v>
      </c>
      <c r="B77" t="s">
        <v>10</v>
      </c>
      <c r="C77" t="s">
        <v>107</v>
      </c>
    </row>
    <row r="78" spans="1:3" x14ac:dyDescent="0.25">
      <c r="A78" t="s">
        <v>14</v>
      </c>
      <c r="B78" t="s">
        <v>10</v>
      </c>
      <c r="C78" t="s">
        <v>109</v>
      </c>
    </row>
    <row r="79" spans="1:3" x14ac:dyDescent="0.25">
      <c r="A79" t="s">
        <v>14</v>
      </c>
      <c r="B79" s="1" t="s">
        <v>110</v>
      </c>
      <c r="C79" t="s">
        <v>111</v>
      </c>
    </row>
    <row r="80" spans="1:3" x14ac:dyDescent="0.25">
      <c r="A80" t="s">
        <v>14</v>
      </c>
      <c r="B80" s="1" t="s">
        <v>110</v>
      </c>
      <c r="C80" t="s">
        <v>112</v>
      </c>
    </row>
    <row r="81" spans="1:3" x14ac:dyDescent="0.25">
      <c r="A81" t="s">
        <v>14</v>
      </c>
      <c r="B81" s="1" t="s">
        <v>110</v>
      </c>
      <c r="C81" t="s">
        <v>113</v>
      </c>
    </row>
    <row r="82" spans="1:3" x14ac:dyDescent="0.25">
      <c r="A82" t="s">
        <v>14</v>
      </c>
      <c r="B82" s="1" t="s">
        <v>110</v>
      </c>
      <c r="C82" t="s">
        <v>114</v>
      </c>
    </row>
    <row r="83" spans="1:3" x14ac:dyDescent="0.25">
      <c r="A83" t="s">
        <v>14</v>
      </c>
      <c r="B83" s="1" t="s">
        <v>110</v>
      </c>
      <c r="C83" t="s">
        <v>115</v>
      </c>
    </row>
    <row r="84" spans="1:3" x14ac:dyDescent="0.25">
      <c r="A84" t="s">
        <v>14</v>
      </c>
      <c r="B84" s="1" t="s">
        <v>110</v>
      </c>
      <c r="C84" t="s">
        <v>116</v>
      </c>
    </row>
    <row r="85" spans="1:3" x14ac:dyDescent="0.25">
      <c r="A85" t="s">
        <v>14</v>
      </c>
      <c r="B85" s="1" t="s">
        <v>110</v>
      </c>
      <c r="C85" t="s">
        <v>117</v>
      </c>
    </row>
    <row r="86" spans="1:3" x14ac:dyDescent="0.25">
      <c r="A86" t="s">
        <v>14</v>
      </c>
      <c r="B86" s="1" t="s">
        <v>110</v>
      </c>
      <c r="C86" t="s">
        <v>118</v>
      </c>
    </row>
    <row r="87" spans="1:3" x14ac:dyDescent="0.25">
      <c r="A87" t="s">
        <v>14</v>
      </c>
      <c r="B87" s="1" t="s">
        <v>110</v>
      </c>
      <c r="C87" t="s">
        <v>119</v>
      </c>
    </row>
    <row r="88" spans="1:3" x14ac:dyDescent="0.25">
      <c r="A88" t="s">
        <v>14</v>
      </c>
      <c r="B88" s="1" t="s">
        <v>110</v>
      </c>
      <c r="C88" t="s">
        <v>120</v>
      </c>
    </row>
    <row r="89" spans="1:3" x14ac:dyDescent="0.25">
      <c r="A89" t="s">
        <v>14</v>
      </c>
      <c r="B89" s="1" t="s">
        <v>110</v>
      </c>
      <c r="C89" t="s">
        <v>121</v>
      </c>
    </row>
    <row r="90" spans="1:3" x14ac:dyDescent="0.25">
      <c r="A90" t="s">
        <v>14</v>
      </c>
      <c r="B90" s="1" t="s">
        <v>110</v>
      </c>
      <c r="C90" t="s">
        <v>122</v>
      </c>
    </row>
  </sheetData>
  <conditionalFormatting sqref="C1:C1048576">
    <cfRule type="expression" dxfId="0" priority="3">
      <formula>_xludf.COUNTIF($C$3:$C$1001,$C3)&gt;1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E91A-CFC2-496A-B2FB-7034558448C3}">
  <dimension ref="A1:J108"/>
  <sheetViews>
    <sheetView topLeftCell="B13" workbookViewId="0">
      <selection activeCell="G3" sqref="G3"/>
    </sheetView>
  </sheetViews>
  <sheetFormatPr baseColWidth="10" defaultColWidth="9.140625" defaultRowHeight="15" x14ac:dyDescent="0.25"/>
  <cols>
    <col min="2" max="2" width="52.85546875" customWidth="1"/>
    <col min="3" max="3" width="10.140625" bestFit="1" customWidth="1"/>
    <col min="4" max="4" width="19.28515625" customWidth="1"/>
    <col min="5" max="5" width="28.140625" customWidth="1"/>
    <col min="6" max="7" width="72.5703125" customWidth="1"/>
    <col min="8" max="8" width="50.140625" style="3" customWidth="1"/>
    <col min="9" max="9" width="55.5703125" customWidth="1"/>
    <col min="10" max="10" width="135.140625" customWidth="1"/>
  </cols>
  <sheetData>
    <row r="1" spans="1:10" x14ac:dyDescent="0.25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127</v>
      </c>
      <c r="H1" s="11" t="s">
        <v>6</v>
      </c>
      <c r="I1" s="11" t="s">
        <v>7</v>
      </c>
      <c r="J1" s="13" t="s">
        <v>8</v>
      </c>
    </row>
    <row r="2" spans="1:10" s="14" customFormat="1" ht="38.25" customHeight="1" x14ac:dyDescent="0.25">
      <c r="A2" s="7" t="s">
        <v>132</v>
      </c>
      <c r="B2" s="14" t="s">
        <v>2034</v>
      </c>
      <c r="C2" s="14" t="s">
        <v>10</v>
      </c>
      <c r="D2" s="14" t="s">
        <v>11</v>
      </c>
      <c r="E2" s="14" t="s">
        <v>41</v>
      </c>
      <c r="F2" t="s">
        <v>134</v>
      </c>
      <c r="G2"/>
      <c r="H2" s="16"/>
      <c r="I2" s="15"/>
      <c r="J2" s="14" t="str">
        <f>A2 &amp; " - " &amp; B2 &amp; " - " &amp; C2 &amp; " - " &amp; D2 &amp; " - " &amp; E2 &amp; " - " &amp; F2 &amp; " -" &amp; I2</f>
        <v>G001 - PMXA - Alarme - Omron - DEFAUT ARRET D'URGENCE - Défaut arrêt d'urgence -</v>
      </c>
    </row>
    <row r="3" spans="1:10" x14ac:dyDescent="0.25">
      <c r="A3" s="7" t="s">
        <v>137</v>
      </c>
      <c r="B3" s="14" t="s">
        <v>2034</v>
      </c>
      <c r="C3" s="14" t="s">
        <v>10</v>
      </c>
      <c r="D3" s="14" t="s">
        <v>11</v>
      </c>
      <c r="E3" s="14"/>
      <c r="F3" t="s">
        <v>139</v>
      </c>
      <c r="H3" s="16"/>
      <c r="I3" s="15"/>
      <c r="J3" s="14" t="str">
        <f>A3 &amp; " - " &amp; B3 &amp; " - " &amp; C3 &amp; " - " &amp; D3 &amp; " - " &amp; E3 &amp; " - " &amp; F3 &amp; " -" &amp; I3</f>
        <v>G002 - PMXA - Alarme - Omron -  - Défaut disjoncteur éléctronique Q20 -</v>
      </c>
    </row>
    <row r="4" spans="1:10" x14ac:dyDescent="0.25">
      <c r="A4" s="7" t="s">
        <v>142</v>
      </c>
      <c r="B4" s="14" t="s">
        <v>2034</v>
      </c>
      <c r="C4" s="14" t="s">
        <v>10</v>
      </c>
      <c r="D4" s="14" t="s">
        <v>11</v>
      </c>
      <c r="E4" s="14"/>
      <c r="F4" t="s">
        <v>144</v>
      </c>
      <c r="H4" s="16"/>
      <c r="I4" s="15"/>
      <c r="J4" s="14" t="str">
        <f t="shared" ref="J4:J11" si="0">A4 &amp; " - " &amp; B4 &amp; " - " &amp; C4 &amp; " - " &amp; D4 &amp; " - " &amp; E4 &amp; " - " &amp; F4 &amp; " -" &amp; I4</f>
        <v>G003 - PMXA - Alarme - Omron -  - Défaut onduleur -</v>
      </c>
    </row>
    <row r="5" spans="1:10" x14ac:dyDescent="0.25">
      <c r="A5" s="7" t="s">
        <v>149</v>
      </c>
      <c r="B5" s="14" t="s">
        <v>2034</v>
      </c>
      <c r="C5" s="14" t="s">
        <v>10</v>
      </c>
      <c r="D5" s="14" t="s">
        <v>11</v>
      </c>
      <c r="E5" s="14"/>
      <c r="F5" t="s">
        <v>151</v>
      </c>
      <c r="H5" s="16"/>
      <c r="I5" s="15"/>
      <c r="J5" s="14" t="str">
        <f t="shared" si="0"/>
        <v>G004 - PMXA - Alarme - Omron -  - Onduleur sur batterie -</v>
      </c>
    </row>
    <row r="6" spans="1:10" x14ac:dyDescent="0.25">
      <c r="A6" s="7" t="s">
        <v>154</v>
      </c>
      <c r="B6" s="14" t="s">
        <v>2034</v>
      </c>
      <c r="C6" s="14" t="s">
        <v>10</v>
      </c>
      <c r="D6" s="14" t="s">
        <v>11</v>
      </c>
      <c r="E6" s="14"/>
      <c r="F6" t="s">
        <v>156</v>
      </c>
      <c r="H6" s="16"/>
      <c r="I6" s="15"/>
      <c r="J6" s="14" t="str">
        <f t="shared" si="0"/>
        <v>G005 - PMXA - Alarme - Omron -  - Défaut parafoudre -</v>
      </c>
    </row>
    <row r="7" spans="1:10" x14ac:dyDescent="0.25">
      <c r="A7" s="7" t="s">
        <v>159</v>
      </c>
      <c r="B7" s="14" t="s">
        <v>2034</v>
      </c>
      <c r="C7" s="14" t="s">
        <v>10</v>
      </c>
      <c r="D7" s="14" t="s">
        <v>11</v>
      </c>
      <c r="E7" s="14"/>
      <c r="F7" t="s">
        <v>161</v>
      </c>
      <c r="H7" s="16"/>
      <c r="I7" s="15"/>
      <c r="J7" s="14" t="str">
        <f t="shared" si="0"/>
        <v>G006 - PMXA - Alarme - Omron -  - Défaut pressostat -</v>
      </c>
    </row>
    <row r="8" spans="1:10" x14ac:dyDescent="0.25">
      <c r="A8" s="7" t="s">
        <v>164</v>
      </c>
      <c r="B8" s="14" t="s">
        <v>2034</v>
      </c>
      <c r="C8" s="14" t="s">
        <v>10</v>
      </c>
      <c r="D8" s="14" t="s">
        <v>11</v>
      </c>
      <c r="E8" s="14"/>
      <c r="F8" t="s">
        <v>166</v>
      </c>
      <c r="H8" s="15"/>
      <c r="I8" s="15"/>
      <c r="J8" s="14" t="str">
        <f t="shared" si="0"/>
        <v>G007 - PMXA - Alarme - Omron -  - Défaut tension -</v>
      </c>
    </row>
    <row r="9" spans="1:10" x14ac:dyDescent="0.25">
      <c r="A9" s="7" t="s">
        <v>169</v>
      </c>
      <c r="B9" s="14" t="s">
        <v>2034</v>
      </c>
      <c r="C9" s="14" t="s">
        <v>10</v>
      </c>
      <c r="D9" s="14" t="s">
        <v>11</v>
      </c>
      <c r="E9" s="14"/>
      <c r="F9" t="s">
        <v>171</v>
      </c>
      <c r="H9" s="15"/>
      <c r="I9" s="15"/>
      <c r="J9" s="14" t="str">
        <f t="shared" si="0"/>
        <v>G008 - PMXA - Alarme - Omron -  - Batterie faible onduleur -</v>
      </c>
    </row>
    <row r="10" spans="1:10" x14ac:dyDescent="0.25">
      <c r="A10" s="7" t="s">
        <v>174</v>
      </c>
      <c r="B10" s="14" t="s">
        <v>2034</v>
      </c>
      <c r="C10" s="14" t="s">
        <v>10</v>
      </c>
      <c r="D10" s="14" t="s">
        <v>11</v>
      </c>
      <c r="E10" s="14"/>
      <c r="F10" t="s">
        <v>176</v>
      </c>
      <c r="H10" s="16"/>
      <c r="I10" s="15"/>
      <c r="J10" s="14" t="str">
        <f t="shared" si="0"/>
        <v>G009 - PMXA - Alarme - Omron -  - Premier démarrage non effectué -</v>
      </c>
    </row>
    <row r="11" spans="1:10" x14ac:dyDescent="0.25">
      <c r="A11" s="7" t="s">
        <v>179</v>
      </c>
      <c r="B11" s="14" t="s">
        <v>2034</v>
      </c>
      <c r="C11" s="14" t="s">
        <v>10</v>
      </c>
      <c r="D11" s="14" t="s">
        <v>11</v>
      </c>
      <c r="E11" s="14"/>
      <c r="F11" t="s">
        <v>181</v>
      </c>
      <c r="H11" s="16"/>
      <c r="I11" s="15"/>
      <c r="J11" s="14" t="str">
        <f t="shared" si="0"/>
        <v>G010 - PMXA - Alarme - Omron -  - Défaut Détection contenant, Stress test stoppé -</v>
      </c>
    </row>
    <row r="12" spans="1:10" x14ac:dyDescent="0.25">
      <c r="A12" t="s">
        <v>184</v>
      </c>
      <c r="B12" s="14" t="s">
        <v>2034</v>
      </c>
      <c r="C12" s="14" t="s">
        <v>10</v>
      </c>
      <c r="D12" s="14" t="s">
        <v>11</v>
      </c>
      <c r="E12" s="14"/>
      <c r="F12" s="14" t="s">
        <v>186</v>
      </c>
      <c r="G12" s="14"/>
      <c r="H12" s="17"/>
      <c r="I12" s="15">
        <f>_xlfn.XLOOKUP(E12,liste!A:A,liste!C:C,"AUTRE")</f>
        <v>0</v>
      </c>
      <c r="J12" s="14" t="e">
        <f>#REF! &amp; " - " &amp; B12 &amp; " - " &amp; C12 &amp; " - " &amp; D12 &amp; " - " &amp; E12 &amp; " - " &amp; F12 &amp; " -" &amp; I12</f>
        <v>#REF!</v>
      </c>
    </row>
    <row r="13" spans="1:10" x14ac:dyDescent="0.25">
      <c r="A13" t="s">
        <v>189</v>
      </c>
      <c r="B13" s="14" t="s">
        <v>2034</v>
      </c>
      <c r="C13" s="14" t="s">
        <v>10</v>
      </c>
      <c r="D13" s="14" t="s">
        <v>11</v>
      </c>
      <c r="E13" s="14"/>
      <c r="F13" s="14" t="s">
        <v>191</v>
      </c>
      <c r="G13" s="14"/>
      <c r="H13" s="17"/>
      <c r="I13" s="15">
        <f>_xlfn.XLOOKUP(E13,liste!A:A,liste!C:C,"AUTRE")</f>
        <v>0</v>
      </c>
      <c r="J13" s="14" t="e">
        <f>#REF! &amp; " - " &amp; B13 &amp; " - " &amp; C13 &amp; " - " &amp; D13 &amp; " - " &amp; E13 &amp; " - " &amp; F13 &amp; " -" &amp; I13</f>
        <v>#REF!</v>
      </c>
    </row>
    <row r="14" spans="1:10" x14ac:dyDescent="0.25">
      <c r="A14" t="s">
        <v>194</v>
      </c>
      <c r="B14" s="14" t="s">
        <v>2034</v>
      </c>
      <c r="C14" s="14" t="s">
        <v>10</v>
      </c>
      <c r="D14" s="14" t="s">
        <v>11</v>
      </c>
      <c r="E14" s="14"/>
      <c r="F14" s="14" t="s">
        <v>196</v>
      </c>
      <c r="G14" s="14"/>
      <c r="H14" s="15"/>
      <c r="I14" s="15">
        <f>_xlfn.XLOOKUP(E14,liste!A:A,liste!C:C,"AUTRE")</f>
        <v>0</v>
      </c>
      <c r="J14" s="14" t="e">
        <f>#REF! &amp; " - " &amp; B14 &amp; " - " &amp; C14 &amp; " - " &amp; D14 &amp; " - " &amp; E14 &amp; " - " &amp; F14 &amp; " -" &amp; I14</f>
        <v>#REF!</v>
      </c>
    </row>
    <row r="15" spans="1:10" x14ac:dyDescent="0.25">
      <c r="A15" t="s">
        <v>199</v>
      </c>
      <c r="B15" s="14" t="s">
        <v>2034</v>
      </c>
      <c r="C15" s="14" t="s">
        <v>10</v>
      </c>
      <c r="D15" s="14" t="s">
        <v>11</v>
      </c>
      <c r="E15" s="14"/>
      <c r="F15" s="14" t="s">
        <v>201</v>
      </c>
      <c r="G15" s="14"/>
      <c r="H15" s="15"/>
      <c r="I15" s="15">
        <f>_xlfn.XLOOKUP(E15,liste!A:A,liste!C:C,"AUTRE")</f>
        <v>0</v>
      </c>
      <c r="J15" s="14" t="e">
        <f>#REF! &amp; " - " &amp; B15 &amp; " - " &amp; C15 &amp; " - " &amp; D15 &amp; " - " &amp; E15 &amp; " - " &amp; F15 &amp; " -" &amp; I15</f>
        <v>#REF!</v>
      </c>
    </row>
    <row r="16" spans="1:10" x14ac:dyDescent="0.25">
      <c r="A16" t="s">
        <v>204</v>
      </c>
      <c r="B16" s="14" t="s">
        <v>2034</v>
      </c>
      <c r="C16" s="14" t="s">
        <v>10</v>
      </c>
      <c r="D16" s="14" t="s">
        <v>11</v>
      </c>
      <c r="E16" s="14"/>
      <c r="F16" s="14" t="s">
        <v>206</v>
      </c>
      <c r="G16" s="14"/>
      <c r="H16" s="15"/>
      <c r="I16" s="15">
        <f>_xlfn.XLOOKUP(E16,liste!A:A,liste!C:C,"AUTRE")</f>
        <v>0</v>
      </c>
      <c r="J16" s="14" t="e">
        <f>#REF! &amp; " - " &amp; B16 &amp; " - " &amp; C16 &amp; " - " &amp; D16 &amp; " - " &amp; E16 &amp; " - " &amp; F16 &amp; " -" &amp; I16</f>
        <v>#REF!</v>
      </c>
    </row>
    <row r="17" spans="1:10" x14ac:dyDescent="0.25">
      <c r="A17" t="s">
        <v>209</v>
      </c>
      <c r="B17" s="14" t="s">
        <v>2034</v>
      </c>
      <c r="C17" s="14" t="s">
        <v>10</v>
      </c>
      <c r="D17" s="14" t="s">
        <v>11</v>
      </c>
      <c r="E17" s="14"/>
      <c r="F17" s="14" t="s">
        <v>211</v>
      </c>
      <c r="G17" s="14"/>
      <c r="H17" s="15"/>
      <c r="I17" s="15">
        <f>_xlfn.XLOOKUP(E17,liste!A:A,liste!C:C,"AUTRE")</f>
        <v>0</v>
      </c>
      <c r="J17" s="14" t="e">
        <f>#REF! &amp; " - " &amp; B17 &amp; " - " &amp; C17 &amp; " - " &amp; D17 &amp; " - " &amp; E17 &amp; " - " &amp; F17 &amp; " -" &amp; I17</f>
        <v>#REF!</v>
      </c>
    </row>
    <row r="18" spans="1:10" x14ac:dyDescent="0.25">
      <c r="A18" t="s">
        <v>214</v>
      </c>
      <c r="B18" s="14" t="s">
        <v>2034</v>
      </c>
      <c r="C18" s="14" t="s">
        <v>10</v>
      </c>
      <c r="D18" s="14" t="s">
        <v>11</v>
      </c>
      <c r="E18" s="14"/>
      <c r="F18" s="14" t="s">
        <v>216</v>
      </c>
      <c r="G18" s="14"/>
      <c r="H18" s="15"/>
      <c r="I18" s="15">
        <f>_xlfn.XLOOKUP(E18,liste!A:A,liste!C:C,"AUTRE")</f>
        <v>0</v>
      </c>
      <c r="J18" s="14" t="e">
        <f>#REF! &amp; " - " &amp; B18 &amp; " - " &amp; C18 &amp; " - " &amp; D18 &amp; " - " &amp; E18 &amp; " - " &amp; F18 &amp; " -" &amp; I18</f>
        <v>#REF!</v>
      </c>
    </row>
    <row r="19" spans="1:10" x14ac:dyDescent="0.25">
      <c r="A19" t="s">
        <v>219</v>
      </c>
      <c r="B19" s="14" t="s">
        <v>2034</v>
      </c>
      <c r="C19" s="14" t="s">
        <v>10</v>
      </c>
      <c r="D19" s="14" t="s">
        <v>11</v>
      </c>
      <c r="E19" s="14"/>
      <c r="F19" s="14" t="s">
        <v>221</v>
      </c>
      <c r="G19" s="14"/>
      <c r="H19" s="15"/>
      <c r="I19" s="15">
        <f>_xlfn.XLOOKUP(E19,liste!A:A,liste!C:C,"AUTRE")</f>
        <v>0</v>
      </c>
      <c r="J19" s="14" t="e">
        <f>#REF! &amp; " - " &amp; B19 &amp; " - " &amp; C19 &amp; " - " &amp; D19 &amp; " - " &amp; E19 &amp; " - " &amp; F19 &amp; " -" &amp; I19</f>
        <v>#REF!</v>
      </c>
    </row>
    <row r="20" spans="1:10" x14ac:dyDescent="0.25">
      <c r="A20" t="s">
        <v>224</v>
      </c>
      <c r="B20" s="14" t="s">
        <v>2034</v>
      </c>
      <c r="C20" s="14" t="s">
        <v>10</v>
      </c>
      <c r="D20" s="14" t="s">
        <v>11</v>
      </c>
      <c r="E20" s="14"/>
      <c r="F20" s="14" t="s">
        <v>226</v>
      </c>
      <c r="G20" s="14"/>
      <c r="H20" s="15"/>
      <c r="I20" s="15">
        <f>_xlfn.XLOOKUP(E20,liste!A:A,liste!C:C,"AUTRE")</f>
        <v>0</v>
      </c>
      <c r="J20" s="14" t="e">
        <f>#REF! &amp; " - " &amp; B20 &amp; " - " &amp; C20 &amp; " - " &amp; D20 &amp; " - " &amp; E20 &amp; " - " &amp; F20 &amp; " -" &amp; I20</f>
        <v>#REF!</v>
      </c>
    </row>
    <row r="21" spans="1:10" x14ac:dyDescent="0.25">
      <c r="A21" t="s">
        <v>229</v>
      </c>
      <c r="B21" s="14" t="s">
        <v>2034</v>
      </c>
      <c r="C21" s="14" t="s">
        <v>10</v>
      </c>
      <c r="D21" s="14" t="s">
        <v>11</v>
      </c>
      <c r="E21" s="14"/>
      <c r="F21" s="14" t="s">
        <v>231</v>
      </c>
      <c r="G21" s="14"/>
      <c r="H21" s="15"/>
      <c r="I21" s="15">
        <f>_xlfn.XLOOKUP(E21,liste!A:A,liste!C:C,"AUTRE")</f>
        <v>0</v>
      </c>
      <c r="J21" s="14" t="e">
        <f>#REF! &amp; " - " &amp; B21 &amp; " - " &amp; C21 &amp; " - " &amp; D21 &amp; " - " &amp; E21 &amp; " - " &amp; F21 &amp; " -" &amp; I21</f>
        <v>#REF!</v>
      </c>
    </row>
    <row r="22" spans="1:10" x14ac:dyDescent="0.25">
      <c r="A22" t="s">
        <v>234</v>
      </c>
      <c r="B22" s="14" t="s">
        <v>2034</v>
      </c>
      <c r="C22" s="14" t="s">
        <v>10</v>
      </c>
      <c r="D22" s="14" t="s">
        <v>11</v>
      </c>
      <c r="E22" s="14"/>
      <c r="F22" s="14" t="s">
        <v>236</v>
      </c>
      <c r="G22" s="14"/>
      <c r="H22" s="15"/>
      <c r="I22" s="15">
        <f>_xlfn.XLOOKUP(E22,liste!A:A,liste!C:C,"AUTRE")</f>
        <v>0</v>
      </c>
      <c r="J22" s="14" t="e">
        <f>#REF! &amp; " - " &amp; B22 &amp; " - " &amp; C22 &amp; " - " &amp; D22 &amp; " - " &amp; E22 &amp; " - " &amp; F22 &amp; " -" &amp; I22</f>
        <v>#REF!</v>
      </c>
    </row>
    <row r="23" spans="1:10" x14ac:dyDescent="0.25">
      <c r="A23" t="s">
        <v>239</v>
      </c>
      <c r="B23" s="14" t="s">
        <v>2034</v>
      </c>
      <c r="C23" s="14" t="s">
        <v>10</v>
      </c>
      <c r="D23" s="14" t="s">
        <v>11</v>
      </c>
      <c r="E23" s="14"/>
      <c r="F23" s="14" t="s">
        <v>241</v>
      </c>
      <c r="G23" s="14"/>
      <c r="H23" s="15"/>
      <c r="I23" s="15">
        <f>_xlfn.XLOOKUP(E23,liste!A:A,liste!C:C,"AUTRE")</f>
        <v>0</v>
      </c>
      <c r="J23" s="14" t="e">
        <f>#REF! &amp; " - " &amp; B23 &amp; " - " &amp; C23 &amp; " - " &amp; D23 &amp; " - " &amp; E23 &amp; " - " &amp; F23 &amp; " -" &amp; I23</f>
        <v>#REF!</v>
      </c>
    </row>
    <row r="24" spans="1:10" x14ac:dyDescent="0.25">
      <c r="A24" t="s">
        <v>209</v>
      </c>
      <c r="B24" s="14" t="s">
        <v>2034</v>
      </c>
      <c r="C24" s="14" t="s">
        <v>10</v>
      </c>
      <c r="D24" s="14" t="s">
        <v>11</v>
      </c>
      <c r="E24" s="14"/>
      <c r="F24" s="14" t="s">
        <v>245</v>
      </c>
      <c r="G24" s="14"/>
      <c r="H24" s="15"/>
      <c r="I24" s="15">
        <f>_xlfn.XLOOKUP(E24,liste!A:A,liste!C:C,"AUTRE")</f>
        <v>0</v>
      </c>
      <c r="J24" s="14" t="e">
        <f>#REF! &amp; " - " &amp; B24 &amp; " - " &amp; C24 &amp; " - " &amp; D24 &amp; " - " &amp; E24 &amp; " - " &amp; F24 &amp; " -" &amp; I24</f>
        <v>#REF!</v>
      </c>
    </row>
    <row r="25" spans="1:10" x14ac:dyDescent="0.25">
      <c r="A25" t="s">
        <v>214</v>
      </c>
      <c r="B25" s="14" t="s">
        <v>2034</v>
      </c>
      <c r="C25" s="14" t="s">
        <v>10</v>
      </c>
      <c r="D25" s="14" t="s">
        <v>11</v>
      </c>
      <c r="E25" s="14"/>
      <c r="F25" s="14" t="s">
        <v>249</v>
      </c>
      <c r="G25" s="14"/>
      <c r="H25" s="15"/>
      <c r="I25" s="15">
        <f>_xlfn.XLOOKUP(E25,liste!A:A,liste!C:C,"AUTRE")</f>
        <v>0</v>
      </c>
      <c r="J25" s="14" t="e">
        <f>#REF! &amp; " - " &amp; B25 &amp; " - " &amp; C25 &amp; " - " &amp; D25 &amp; " - " &amp; E25 &amp; " - " &amp; F25 &amp; " -" &amp; I25</f>
        <v>#REF!</v>
      </c>
    </row>
    <row r="26" spans="1:10" x14ac:dyDescent="0.25">
      <c r="A26" t="s">
        <v>219</v>
      </c>
      <c r="B26" s="14" t="s">
        <v>2034</v>
      </c>
      <c r="C26" s="14" t="s">
        <v>10</v>
      </c>
      <c r="D26" s="14" t="s">
        <v>11</v>
      </c>
      <c r="E26" s="14"/>
      <c r="F26" s="14" t="s">
        <v>253</v>
      </c>
      <c r="G26" s="14"/>
      <c r="H26" s="15"/>
      <c r="I26" s="15">
        <f>_xlfn.XLOOKUP(E26,liste!A:A,liste!C:C,"AUTRE")</f>
        <v>0</v>
      </c>
      <c r="J26" s="14" t="e">
        <f>#REF! &amp; " - " &amp; B26 &amp; " - " &amp; C26 &amp; " - " &amp; D26 &amp; " - " &amp; E26 &amp; " - " &amp; F26 &amp; " -" &amp; I26</f>
        <v>#REF!</v>
      </c>
    </row>
    <row r="27" spans="1:10" x14ac:dyDescent="0.25">
      <c r="A27" t="s">
        <v>224</v>
      </c>
      <c r="B27" s="14" t="s">
        <v>2034</v>
      </c>
      <c r="C27" s="14" t="s">
        <v>10</v>
      </c>
      <c r="D27" s="14" t="s">
        <v>11</v>
      </c>
      <c r="E27" s="14"/>
      <c r="F27" s="14" t="s">
        <v>257</v>
      </c>
      <c r="G27" s="14"/>
      <c r="H27" s="15"/>
      <c r="I27" s="15">
        <f>_xlfn.XLOOKUP(E27,liste!A:A,liste!C:C,"AUTRE")</f>
        <v>0</v>
      </c>
      <c r="J27" s="14" t="e">
        <f>#REF! &amp; " - " &amp; B27 &amp; " - " &amp; C27 &amp; " - " &amp; D27 &amp; " - " &amp; E27 &amp; " - " &amp; F27 &amp; " -" &amp; I27</f>
        <v>#REF!</v>
      </c>
    </row>
    <row r="28" spans="1:10" x14ac:dyDescent="0.25">
      <c r="A28" t="s">
        <v>229</v>
      </c>
      <c r="B28" s="14" t="s">
        <v>2034</v>
      </c>
      <c r="C28" s="14" t="s">
        <v>10</v>
      </c>
      <c r="D28" s="14" t="s">
        <v>11</v>
      </c>
      <c r="E28" s="14"/>
      <c r="F28" s="14" t="s">
        <v>261</v>
      </c>
      <c r="G28" s="14"/>
      <c r="H28" s="15"/>
      <c r="I28" s="15">
        <f>_xlfn.XLOOKUP(E28,liste!A:A,liste!C:C,"AUTRE")</f>
        <v>0</v>
      </c>
      <c r="J28" s="14" t="e">
        <f>#REF! &amp; " - " &amp; B28 &amp; " - " &amp; C28 &amp; " - " &amp; D28 &amp; " - " &amp; E28 &amp; " - " &amp; F28 &amp; " -" &amp; I28</f>
        <v>#REF!</v>
      </c>
    </row>
    <row r="29" spans="1:10" x14ac:dyDescent="0.25">
      <c r="A29" t="s">
        <v>189</v>
      </c>
      <c r="B29" s="14" t="s">
        <v>2034</v>
      </c>
      <c r="C29" s="14" t="s">
        <v>10</v>
      </c>
      <c r="D29" s="14" t="s">
        <v>11</v>
      </c>
      <c r="E29" s="14"/>
      <c r="F29" s="14" t="s">
        <v>265</v>
      </c>
      <c r="G29" s="14"/>
      <c r="H29" s="15"/>
      <c r="I29" s="15">
        <f>_xlfn.XLOOKUP(E29,liste!A:A,liste!C:C,"AUTRE")</f>
        <v>0</v>
      </c>
      <c r="J29" s="14" t="e">
        <f>#REF! &amp; " - " &amp; B29 &amp; " - " &amp; C29 &amp; " - " &amp; D29 &amp; " - " &amp; E29 &amp; " - " &amp; F29 &amp; " -" &amp; I29</f>
        <v>#REF!</v>
      </c>
    </row>
    <row r="30" spans="1:10" x14ac:dyDescent="0.25">
      <c r="A30" t="s">
        <v>209</v>
      </c>
      <c r="B30" s="14" t="s">
        <v>2034</v>
      </c>
      <c r="C30" s="14" t="s">
        <v>10</v>
      </c>
      <c r="D30" s="14" t="s">
        <v>11</v>
      </c>
      <c r="E30" s="14"/>
      <c r="F30" s="14" t="s">
        <v>269</v>
      </c>
      <c r="G30" s="14"/>
      <c r="H30" s="15"/>
      <c r="I30" s="15">
        <f>_xlfn.XLOOKUP(E30,liste!A:A,liste!C:C,"AUTRE")</f>
        <v>0</v>
      </c>
      <c r="J30" s="14" t="e">
        <f>#REF! &amp; " - " &amp; B30 &amp; " - " &amp; C30 &amp; " - " &amp; D30 &amp; " - " &amp; E30 &amp; " - " &amp; F30 &amp; " -" &amp; I30</f>
        <v>#REF!</v>
      </c>
    </row>
    <row r="31" spans="1:10" x14ac:dyDescent="0.25">
      <c r="A31" t="s">
        <v>209</v>
      </c>
      <c r="B31" s="14" t="s">
        <v>2034</v>
      </c>
      <c r="C31" s="14" t="s">
        <v>10</v>
      </c>
      <c r="D31" s="14" t="s">
        <v>11</v>
      </c>
      <c r="E31" s="14"/>
      <c r="F31" s="14" t="s">
        <v>273</v>
      </c>
      <c r="G31" s="14"/>
      <c r="H31" s="15"/>
      <c r="I31" s="15">
        <f>_xlfn.XLOOKUP(E31,liste!A:A,liste!C:C,"AUTRE")</f>
        <v>0</v>
      </c>
      <c r="J31" s="14" t="e">
        <f>#REF! &amp; " - " &amp; B31 &amp; " - " &amp; C31 &amp; " - " &amp; D31 &amp; " - " &amp; E31 &amp; " - " &amp; F31 &amp; " -" &amp; I31</f>
        <v>#REF!</v>
      </c>
    </row>
    <row r="32" spans="1:10" x14ac:dyDescent="0.25">
      <c r="A32" t="s">
        <v>276</v>
      </c>
      <c r="B32" s="14" t="s">
        <v>2034</v>
      </c>
      <c r="C32" s="14" t="s">
        <v>10</v>
      </c>
      <c r="D32" s="14" t="s">
        <v>11</v>
      </c>
      <c r="E32" s="14"/>
      <c r="F32" t="s">
        <v>278</v>
      </c>
      <c r="H32" s="15"/>
      <c r="I32" s="15">
        <f>_xlfn.XLOOKUP(E32,liste!A:A,liste!C:C,"AUTRE")</f>
        <v>0</v>
      </c>
      <c r="J32" s="14" t="str">
        <f t="shared" ref="J32:J42" si="1">A32 &amp; " - " &amp; B32 &amp; " - " &amp; C32 &amp; " - " &amp; D32 &amp; " - " &amp; E32 &amp; " - " &amp; F32 &amp; " -" &amp; I32</f>
        <v>ES001 - PMXA - Alarme - Omron -  - Défaut sur la carte MOD 1 - Résoudre le problème, éteindre la machine et redémarrer après 30s -0</v>
      </c>
    </row>
    <row r="33" spans="1:10" x14ac:dyDescent="0.25">
      <c r="A33" t="s">
        <v>281</v>
      </c>
      <c r="B33" s="14" t="s">
        <v>2034</v>
      </c>
      <c r="C33" s="14" t="s">
        <v>10</v>
      </c>
      <c r="D33" s="14" t="s">
        <v>11</v>
      </c>
      <c r="E33" s="14"/>
      <c r="F33" t="s">
        <v>283</v>
      </c>
      <c r="H33" s="15"/>
      <c r="I33" s="15">
        <f>_xlfn.XLOOKUP(E33,liste!A:A,liste!C:C,"AUTRE")</f>
        <v>0</v>
      </c>
      <c r="J33" s="14" t="str">
        <f t="shared" si="1"/>
        <v>ES002 - PMXA - Alarme - Omron -  - Défaut sur la carte MOD 2 - Résoudre le problème, éteindre la machine et redémarrer après 30s -0</v>
      </c>
    </row>
    <row r="34" spans="1:10" x14ac:dyDescent="0.25">
      <c r="A34" t="s">
        <v>286</v>
      </c>
      <c r="B34" s="14" t="s">
        <v>2034</v>
      </c>
      <c r="C34" s="14" t="s">
        <v>10</v>
      </c>
      <c r="D34" s="14" t="s">
        <v>11</v>
      </c>
      <c r="E34" s="14"/>
      <c r="F34" t="s">
        <v>288</v>
      </c>
      <c r="H34" s="15"/>
      <c r="I34" s="15">
        <f>_xlfn.XLOOKUP(E34,liste!A:A,liste!C:C,"AUTRE")</f>
        <v>0</v>
      </c>
      <c r="J34" s="14" t="str">
        <f t="shared" si="1"/>
        <v>ES003 - PMXA - Alarme - Omron -  - Défaut sur la carte MOD 3 - Résoudre le problème, éteindre la machine et redémarrer après 30s -0</v>
      </c>
    </row>
    <row r="35" spans="1:10" x14ac:dyDescent="0.25">
      <c r="A35" t="s">
        <v>291</v>
      </c>
      <c r="B35" s="14" t="s">
        <v>2034</v>
      </c>
      <c r="C35" s="14" t="s">
        <v>10</v>
      </c>
      <c r="D35" s="14" t="s">
        <v>11</v>
      </c>
      <c r="E35" s="14"/>
      <c r="F35" t="s">
        <v>293</v>
      </c>
      <c r="H35" s="15"/>
      <c r="I35" s="15">
        <f>_xlfn.XLOOKUP(E35,liste!A:A,liste!C:C,"AUTRE")</f>
        <v>0</v>
      </c>
      <c r="J35" s="14" t="str">
        <f t="shared" si="1"/>
        <v>ES004 - PMXA - Alarme - Omron -  - Défaut sur la carte MOD 4 - Résoudre le problème, éteindre la machine et redémarrer après 30s -0</v>
      </c>
    </row>
    <row r="36" spans="1:10" x14ac:dyDescent="0.25">
      <c r="A36" t="s">
        <v>296</v>
      </c>
      <c r="B36" s="14" t="s">
        <v>2034</v>
      </c>
      <c r="C36" s="14" t="s">
        <v>10</v>
      </c>
      <c r="D36" s="14" t="s">
        <v>11</v>
      </c>
      <c r="E36" s="14"/>
      <c r="F36" t="s">
        <v>298</v>
      </c>
      <c r="H36" s="15"/>
      <c r="I36" s="15">
        <f>_xlfn.XLOOKUP(E36,liste!A:A,liste!C:C,"AUTRE")</f>
        <v>0</v>
      </c>
      <c r="J36" s="14" t="str">
        <f t="shared" si="1"/>
        <v>ES005 - PMXA - Alarme - Omron -  - Défaut sur la carte MOD 5 - Résoudre le problème, éteindre la machine et redémarrer après 30s -0</v>
      </c>
    </row>
    <row r="37" spans="1:10" x14ac:dyDescent="0.25">
      <c r="A37" t="s">
        <v>301</v>
      </c>
      <c r="B37" s="14" t="s">
        <v>2034</v>
      </c>
      <c r="C37" s="14" t="s">
        <v>10</v>
      </c>
      <c r="D37" s="14" t="s">
        <v>11</v>
      </c>
      <c r="E37" s="14"/>
      <c r="F37" t="s">
        <v>303</v>
      </c>
      <c r="H37" s="15"/>
      <c r="I37" s="15">
        <f>_xlfn.XLOOKUP(E37,liste!A:A,liste!C:C,"AUTRE")</f>
        <v>0</v>
      </c>
      <c r="J37" s="14" t="str">
        <f t="shared" si="1"/>
        <v>ES006 - PMXA - Alarme - Omron -  - Défaut sur la carte MOD 6 - Résoudre le problème, éteindre la machine et redémarrer après 30s -0</v>
      </c>
    </row>
    <row r="38" spans="1:10" x14ac:dyDescent="0.25">
      <c r="A38" t="s">
        <v>306</v>
      </c>
      <c r="B38" s="14" t="s">
        <v>2034</v>
      </c>
      <c r="C38" s="14" t="s">
        <v>10</v>
      </c>
      <c r="D38" s="14" t="s">
        <v>11</v>
      </c>
      <c r="E38" s="14"/>
      <c r="F38" t="s">
        <v>308</v>
      </c>
      <c r="H38" s="15"/>
      <c r="I38" s="15">
        <f>_xlfn.XLOOKUP(E38,liste!A:A,liste!C:C,"AUTRE")</f>
        <v>0</v>
      </c>
      <c r="J38" s="14" t="str">
        <f t="shared" si="1"/>
        <v>ES007 - PMXA - Alarme - Omron -  - Défaut sur la carte MOD 7 - Résoudre le problème, éteindre la machine et redémarrer après 30s -0</v>
      </c>
    </row>
    <row r="39" spans="1:10" x14ac:dyDescent="0.25">
      <c r="A39" t="s">
        <v>311</v>
      </c>
      <c r="B39" s="14" t="s">
        <v>2034</v>
      </c>
      <c r="C39" s="14" t="s">
        <v>10</v>
      </c>
      <c r="D39" s="14" t="s">
        <v>11</v>
      </c>
      <c r="E39" s="14"/>
      <c r="F39" t="s">
        <v>313</v>
      </c>
      <c r="H39" s="15"/>
      <c r="I39" s="15">
        <f>_xlfn.XLOOKUP(E39,liste!A:A,liste!C:C,"AUTRE")</f>
        <v>0</v>
      </c>
      <c r="J39" s="14" t="str">
        <f t="shared" si="1"/>
        <v>ES008 - PMXA - Alarme - Omron -  - Défaut sur la carte MOD 8 - Résoudre le problème, éteindre la machine et redémarrer après 30s -0</v>
      </c>
    </row>
    <row r="40" spans="1:10" x14ac:dyDescent="0.25">
      <c r="A40" t="s">
        <v>316</v>
      </c>
      <c r="B40" s="14" t="s">
        <v>2034</v>
      </c>
      <c r="C40" s="14" t="s">
        <v>10</v>
      </c>
      <c r="D40" s="14" t="s">
        <v>11</v>
      </c>
      <c r="E40" s="14"/>
      <c r="F40" t="s">
        <v>318</v>
      </c>
      <c r="H40" s="15"/>
      <c r="I40" s="15">
        <f>_xlfn.XLOOKUP(E40,liste!A:A,liste!C:C,"AUTRE")</f>
        <v>0</v>
      </c>
      <c r="J40" s="14" t="str">
        <f t="shared" si="1"/>
        <v>ES009 - PMXA - Alarme - Omron -  - Défaut sur la carte MOD 9 - Résoudre le problème, éteindre la machine et redémarrer après 30s -0</v>
      </c>
    </row>
    <row r="41" spans="1:10" x14ac:dyDescent="0.25">
      <c r="A41" t="s">
        <v>321</v>
      </c>
      <c r="B41" s="14" t="s">
        <v>2034</v>
      </c>
      <c r="C41" s="14" t="s">
        <v>10</v>
      </c>
      <c r="D41" s="14" t="s">
        <v>11</v>
      </c>
      <c r="E41" s="14"/>
      <c r="F41" t="s">
        <v>323</v>
      </c>
      <c r="H41" s="15"/>
      <c r="I41" s="15">
        <f>_xlfn.XLOOKUP(E41,liste!A:A,liste!C:C,"AUTRE")</f>
        <v>0</v>
      </c>
      <c r="J41" s="14" t="str">
        <f t="shared" si="1"/>
        <v>ES010 - PMXA - Alarme - Omron -  - Défaut sur la carte MOD 10 - Résoudre le problème, éteindre la machine et redémarrer après 30s -0</v>
      </c>
    </row>
    <row r="42" spans="1:10" x14ac:dyDescent="0.25">
      <c r="A42" t="s">
        <v>326</v>
      </c>
      <c r="B42" s="14" t="s">
        <v>2034</v>
      </c>
      <c r="C42" s="14" t="s">
        <v>10</v>
      </c>
      <c r="D42" s="14" t="s">
        <v>11</v>
      </c>
      <c r="E42" s="14"/>
      <c r="F42" t="s">
        <v>328</v>
      </c>
      <c r="H42" s="15"/>
      <c r="I42" s="15">
        <f>_xlfn.XLOOKUP(E42,liste!A:A,liste!C:C,"AUTRE")</f>
        <v>0</v>
      </c>
      <c r="J42" s="14" t="str">
        <f t="shared" si="1"/>
        <v>ES011 - PMXA - Alarme - Omron -  - Défaut sur la carte MOD 11 - Résoudre le problème, éteindre la machine et redémarrer après 30s -0</v>
      </c>
    </row>
    <row r="43" spans="1:10" x14ac:dyDescent="0.25">
      <c r="A43" s="18" t="s">
        <v>331</v>
      </c>
      <c r="B43" s="14"/>
      <c r="C43" s="14"/>
      <c r="D43" s="14"/>
      <c r="E43" s="14"/>
      <c r="F43" t="s">
        <v>333</v>
      </c>
      <c r="H43" s="15"/>
      <c r="I43" s="15">
        <f>_xlfn.XLOOKUP(E43,liste!A:A,liste!C:C,"AUTRE")</f>
        <v>0</v>
      </c>
      <c r="J43" s="14" t="str">
        <f t="shared" ref="J43:J74" si="2">A43 &amp; " - " &amp; B43 &amp; " - " &amp; C43 &amp; " - " &amp; D43 &amp; " - " &amp; E43 &amp; " - " &amp; F43 &amp; " -" &amp; I43</f>
        <v>A001 -  -  -  -  - Défaut intensité Convoyeur ligne de tri -0</v>
      </c>
    </row>
    <row r="44" spans="1:10" x14ac:dyDescent="0.25">
      <c r="A44" s="18" t="s">
        <v>336</v>
      </c>
      <c r="B44" s="14"/>
      <c r="C44" s="14"/>
      <c r="D44" s="14"/>
      <c r="E44" s="14"/>
      <c r="F44" t="s">
        <v>338</v>
      </c>
      <c r="H44" s="15"/>
      <c r="I44" s="15">
        <f>_xlfn.XLOOKUP(E44,liste!A:A,liste!C:C,"AUTRE")</f>
        <v>0</v>
      </c>
      <c r="J44" s="14" t="str">
        <f t="shared" si="2"/>
        <v>A002 -  -  -  -  - Défaut Convoyeur ligne de tri -0</v>
      </c>
    </row>
    <row r="45" spans="1:10" x14ac:dyDescent="0.25">
      <c r="A45" s="18" t="s">
        <v>341</v>
      </c>
      <c r="B45" s="14"/>
      <c r="C45" s="14"/>
      <c r="D45" s="14"/>
      <c r="E45" s="14"/>
      <c r="F45" t="s">
        <v>343</v>
      </c>
      <c r="H45" s="15"/>
      <c r="I45" s="15">
        <f>_xlfn.XLOOKUP(E45,liste!A:A,liste!C:C,"AUTRE")</f>
        <v>0</v>
      </c>
      <c r="J45" s="14" t="str">
        <f t="shared" si="2"/>
        <v>A003 -  -  -  -  - Défaut intensité Convoyeur séparateur -0</v>
      </c>
    </row>
    <row r="46" spans="1:10" x14ac:dyDescent="0.25">
      <c r="A46" s="18" t="s">
        <v>346</v>
      </c>
      <c r="B46" s="14"/>
      <c r="C46" s="14"/>
      <c r="D46" s="14"/>
      <c r="E46" s="14"/>
      <c r="F46" t="s">
        <v>348</v>
      </c>
      <c r="H46" s="15"/>
      <c r="I46" s="15">
        <f>_xlfn.XLOOKUP(E46,liste!A:A,liste!C:C,"AUTRE")</f>
        <v>0</v>
      </c>
      <c r="J46" s="14" t="str">
        <f t="shared" si="2"/>
        <v>A004 -  -  -  -  - Défaut Convoyeur séparateur -0</v>
      </c>
    </row>
    <row r="47" spans="1:10" x14ac:dyDescent="0.25">
      <c r="A47" s="18" t="s">
        <v>351</v>
      </c>
      <c r="B47" s="14"/>
      <c r="C47" s="14"/>
      <c r="D47" s="14"/>
      <c r="E47" s="14"/>
      <c r="F47" t="s">
        <v>353</v>
      </c>
      <c r="H47" s="15"/>
      <c r="I47" s="15">
        <f>_xlfn.XLOOKUP(E47,liste!A:A,liste!C:C,"AUTRE")</f>
        <v>0</v>
      </c>
      <c r="J47" s="14" t="str">
        <f t="shared" si="2"/>
        <v>A005 -  -  -  -  - Défaut intensité Convoyeur accélérateur -0</v>
      </c>
    </row>
    <row r="48" spans="1:10" x14ac:dyDescent="0.25">
      <c r="A48" s="18" t="s">
        <v>356</v>
      </c>
      <c r="B48" s="14"/>
      <c r="C48" s="14"/>
      <c r="D48" s="14"/>
      <c r="E48" s="14"/>
      <c r="F48" t="s">
        <v>358</v>
      </c>
      <c r="H48" s="15"/>
      <c r="I48" s="15">
        <f>_xlfn.XLOOKUP(E48,liste!A:A,liste!C:C,"AUTRE")</f>
        <v>0</v>
      </c>
      <c r="J48" s="14" t="str">
        <f t="shared" si="2"/>
        <v>A006 -  -  -  -  - Défaut Convoyeur accélérateur -0</v>
      </c>
    </row>
    <row r="49" spans="1:10" x14ac:dyDescent="0.25">
      <c r="A49" s="18" t="s">
        <v>361</v>
      </c>
      <c r="B49" s="14"/>
      <c r="C49" s="14"/>
      <c r="D49" s="14"/>
      <c r="E49" s="14"/>
      <c r="F49" t="s">
        <v>363</v>
      </c>
      <c r="H49" s="15"/>
      <c r="I49" s="15">
        <f>_xlfn.XLOOKUP(E49,liste!A:A,liste!C:C,"AUTRE")</f>
        <v>0</v>
      </c>
      <c r="J49" s="14" t="str">
        <f t="shared" si="2"/>
        <v>A007 -  -  -  -  - Défaut intensité Oscillation convoyeur accélérateur -0</v>
      </c>
    </row>
    <row r="50" spans="1:10" x14ac:dyDescent="0.25">
      <c r="A50" s="18" t="s">
        <v>366</v>
      </c>
      <c r="B50" s="14"/>
      <c r="C50" s="14"/>
      <c r="D50" s="14"/>
      <c r="E50" s="14"/>
      <c r="F50" t="s">
        <v>368</v>
      </c>
      <c r="H50" s="15"/>
      <c r="I50" s="15">
        <f>_xlfn.XLOOKUP(E50,liste!A:A,liste!C:C,"AUTRE")</f>
        <v>0</v>
      </c>
      <c r="J50" s="14" t="str">
        <f t="shared" si="2"/>
        <v>A008 -  -  -  -  - Défaut Oscillation convoyeur accélérateur -0</v>
      </c>
    </row>
    <row r="51" spans="1:10" x14ac:dyDescent="0.25">
      <c r="A51" s="18" t="s">
        <v>371</v>
      </c>
      <c r="B51" s="14"/>
      <c r="C51" s="14"/>
      <c r="D51" s="14"/>
      <c r="E51" s="14"/>
      <c r="F51" t="s">
        <v>373</v>
      </c>
      <c r="H51" s="15"/>
      <c r="I51" s="15">
        <f>_xlfn.XLOOKUP(E51,liste!A:A,liste!C:C,"AUTRE")</f>
        <v>0</v>
      </c>
      <c r="J51" s="14" t="str">
        <f t="shared" si="2"/>
        <v>A009 -  -  -  -  - Défaut intensité Convoyeur acquisition -0</v>
      </c>
    </row>
    <row r="52" spans="1:10" x14ac:dyDescent="0.25">
      <c r="A52" s="18" t="s">
        <v>376</v>
      </c>
      <c r="B52" s="14"/>
      <c r="C52" s="14"/>
      <c r="D52" s="14"/>
      <c r="E52" s="14"/>
      <c r="F52" t="s">
        <v>378</v>
      </c>
      <c r="H52" s="15"/>
      <c r="I52" s="15">
        <f>_xlfn.XLOOKUP(E52,liste!A:A,liste!C:C,"AUTRE")</f>
        <v>0</v>
      </c>
      <c r="J52" s="14" t="str">
        <f t="shared" si="2"/>
        <v>A010 -  -  -  -  - Défaut Convoyeur acquisition -0</v>
      </c>
    </row>
    <row r="53" spans="1:10" x14ac:dyDescent="0.25">
      <c r="A53" s="18" t="s">
        <v>381</v>
      </c>
      <c r="B53" s="14"/>
      <c r="C53" s="14"/>
      <c r="D53" s="14"/>
      <c r="E53" s="14"/>
      <c r="F53" t="s">
        <v>383</v>
      </c>
      <c r="H53" s="15"/>
      <c r="I53" s="15">
        <f>_xlfn.XLOOKUP(E53,liste!A:A,liste!C:C,"AUTRE")</f>
        <v>0</v>
      </c>
      <c r="J53" s="14" t="str">
        <f t="shared" si="2"/>
        <v>A011 -  -  -  -  - Défaut intensité Oscillation convoyeur acquisition -0</v>
      </c>
    </row>
    <row r="54" spans="1:10" x14ac:dyDescent="0.25">
      <c r="A54" s="18" t="s">
        <v>386</v>
      </c>
      <c r="B54" s="14"/>
      <c r="C54" s="14"/>
      <c r="D54" s="14"/>
      <c r="E54" s="14"/>
      <c r="F54" t="s">
        <v>388</v>
      </c>
      <c r="H54" s="15"/>
      <c r="I54" s="15">
        <f>_xlfn.XLOOKUP(E54,liste!A:A,liste!C:C,"AUTRE")</f>
        <v>0</v>
      </c>
      <c r="J54" s="14" t="str">
        <f t="shared" si="2"/>
        <v>A012 -  -  -  -  - Défaut Oscillation convoyeur acquisition -0</v>
      </c>
    </row>
    <row r="55" spans="1:10" x14ac:dyDescent="0.25">
      <c r="A55" s="18" t="s">
        <v>391</v>
      </c>
      <c r="B55" s="14"/>
      <c r="C55" s="14"/>
      <c r="D55" s="14"/>
      <c r="E55" s="14"/>
      <c r="F55" t="s">
        <v>393</v>
      </c>
      <c r="H55" s="15"/>
      <c r="I55" s="15">
        <f>_xlfn.XLOOKUP(E55,liste!A:A,liste!C:C,"AUTRE")</f>
        <v>0</v>
      </c>
      <c r="J55" s="14" t="str">
        <f t="shared" si="2"/>
        <v>A013 -  -  -  -  - Défaut intensité Convoyeur de sortie -0</v>
      </c>
    </row>
    <row r="56" spans="1:10" x14ac:dyDescent="0.25">
      <c r="A56" s="18" t="s">
        <v>396</v>
      </c>
      <c r="B56" s="14"/>
      <c r="C56" s="14"/>
      <c r="D56" s="14"/>
      <c r="E56" s="14"/>
      <c r="F56" t="s">
        <v>398</v>
      </c>
      <c r="H56" s="15"/>
      <c r="I56" s="15">
        <f>_xlfn.XLOOKUP(E56,liste!A:A,liste!C:C,"AUTRE")</f>
        <v>0</v>
      </c>
      <c r="J56" s="14" t="str">
        <f t="shared" si="2"/>
        <v>A014 -  -  -  -  - Défaut Convoyeur de sortie -0</v>
      </c>
    </row>
    <row r="57" spans="1:10" x14ac:dyDescent="0.25">
      <c r="A57" s="18" t="s">
        <v>401</v>
      </c>
      <c r="B57" s="14"/>
      <c r="C57" s="14"/>
      <c r="D57" s="14"/>
      <c r="E57" s="14"/>
      <c r="F57" t="s">
        <v>403</v>
      </c>
      <c r="H57" s="15"/>
      <c r="I57" s="15">
        <f>_xlfn.XLOOKUP(E57,liste!A:A,liste!C:C,"AUTRE")</f>
        <v>0</v>
      </c>
      <c r="J57" s="14" t="str">
        <f t="shared" si="2"/>
        <v>A015 -  -  -  -  - Défaut disjoncteur éléctronique Q121 -0</v>
      </c>
    </row>
    <row r="58" spans="1:10" x14ac:dyDescent="0.25">
      <c r="A58" s="18" t="s">
        <v>406</v>
      </c>
      <c r="B58" s="14"/>
      <c r="C58" s="14"/>
      <c r="D58" s="14"/>
      <c r="E58" s="14"/>
      <c r="F58" t="s">
        <v>408</v>
      </c>
      <c r="H58" s="15"/>
      <c r="I58" s="15">
        <f>_xlfn.XLOOKUP(E58,liste!A:A,liste!C:C,"AUTRE")</f>
        <v>0</v>
      </c>
      <c r="J58" s="14" t="str">
        <f t="shared" si="2"/>
        <v>A016 -  -  -  -  - Défaut disjoncteur éléctronique Q221 -0</v>
      </c>
    </row>
    <row r="59" spans="1:10" x14ac:dyDescent="0.25">
      <c r="A59" s="18" t="s">
        <v>411</v>
      </c>
      <c r="B59" s="14"/>
      <c r="C59" s="14"/>
      <c r="D59" s="14"/>
      <c r="E59" s="14"/>
      <c r="F59" t="s">
        <v>413</v>
      </c>
      <c r="H59" s="15"/>
      <c r="I59" s="15">
        <f>_xlfn.XLOOKUP(E59,liste!A:A,liste!C:C,"AUTRE")</f>
        <v>0</v>
      </c>
      <c r="J59" s="14" t="str">
        <f t="shared" si="2"/>
        <v>A017 -  -  -  -  - Défaut disjoncteur éléctronique Q321 -0</v>
      </c>
    </row>
    <row r="60" spans="1:10" x14ac:dyDescent="0.25">
      <c r="A60" s="18" t="s">
        <v>416</v>
      </c>
      <c r="B60" s="14"/>
      <c r="C60" s="14"/>
      <c r="D60" s="14"/>
      <c r="E60" s="14"/>
      <c r="F60" t="s">
        <v>418</v>
      </c>
      <c r="H60" s="15"/>
      <c r="I60" s="15">
        <f>_xlfn.XLOOKUP(E60,liste!A:A,liste!C:C,"AUTRE")</f>
        <v>0</v>
      </c>
      <c r="J60" s="14" t="str">
        <f t="shared" si="2"/>
        <v>A018 -  -  -  -  - Goulotte aiguillage pas en position ou capteur HS -0</v>
      </c>
    </row>
    <row r="61" spans="1:10" x14ac:dyDescent="0.25">
      <c r="A61" s="18" t="s">
        <v>421</v>
      </c>
      <c r="B61" s="14"/>
      <c r="C61" s="14"/>
      <c r="D61" s="14"/>
      <c r="E61" s="14"/>
      <c r="F61" t="s">
        <v>423</v>
      </c>
      <c r="H61" s="15"/>
      <c r="I61" s="15">
        <f>_xlfn.XLOOKUP(E61,liste!A:A,liste!C:C,"AUTRE")</f>
        <v>0</v>
      </c>
      <c r="J61" s="14" t="str">
        <f t="shared" si="2"/>
        <v>A020 -  -  -  -  - Pas de détection du capteur système d'oscillation convoyeur accélérateur en position basse, vérifier le capteur ou la pièce mécanique -0</v>
      </c>
    </row>
    <row r="62" spans="1:10" x14ac:dyDescent="0.25">
      <c r="A62" s="18" t="s">
        <v>426</v>
      </c>
      <c r="B62" s="14"/>
      <c r="C62" s="14"/>
      <c r="D62" s="14"/>
      <c r="E62" s="14"/>
      <c r="F62" t="s">
        <v>423</v>
      </c>
      <c r="H62" s="15"/>
      <c r="I62" s="15">
        <f>_xlfn.XLOOKUP(E62,liste!A:A,liste!C:C,"AUTRE")</f>
        <v>0</v>
      </c>
      <c r="J62" s="14" t="str">
        <f t="shared" si="2"/>
        <v>A021 -  -  -  -  - Pas de détection du capteur système d'oscillation convoyeur accélérateur en position basse, vérifier le capteur ou la pièce mécanique -0</v>
      </c>
    </row>
    <row r="63" spans="1:10" x14ac:dyDescent="0.25">
      <c r="A63" s="18" t="s">
        <v>430</v>
      </c>
      <c r="B63" s="14"/>
      <c r="C63" s="14"/>
      <c r="D63" s="14"/>
      <c r="E63" s="14"/>
      <c r="F63" t="s">
        <v>432</v>
      </c>
      <c r="H63" s="15"/>
      <c r="I63" s="15">
        <f>_xlfn.XLOOKUP(E63,liste!A:A,liste!C:C,"AUTRE")</f>
        <v>0</v>
      </c>
      <c r="J63" s="14" t="str">
        <f t="shared" si="2"/>
        <v>A022 -  -  -  -  - Pas de détection du capteur système d'oscillation convoyeur acquisition en position basse, vérifier le capteur ou la pièce mécanique -0</v>
      </c>
    </row>
    <row r="64" spans="1:10" x14ac:dyDescent="0.25">
      <c r="A64" s="18" t="s">
        <v>435</v>
      </c>
      <c r="B64" s="14"/>
      <c r="C64" s="14"/>
      <c r="D64" s="14"/>
      <c r="E64" s="14"/>
      <c r="F64" t="s">
        <v>432</v>
      </c>
      <c r="H64" s="15"/>
      <c r="I64" s="15">
        <f>_xlfn.XLOOKUP(E64,liste!A:A,liste!C:C,"AUTRE")</f>
        <v>0</v>
      </c>
      <c r="J64" s="14" t="str">
        <f t="shared" si="2"/>
        <v>A023 -  -  -  -  - Pas de détection du capteur système d'oscillation convoyeur acquisition en position basse, vérifier le capteur ou la pièce mécanique -0</v>
      </c>
    </row>
    <row r="65" spans="1:10" x14ac:dyDescent="0.25">
      <c r="A65" s="18" t="s">
        <v>439</v>
      </c>
      <c r="B65" s="14"/>
      <c r="C65" s="14"/>
      <c r="D65" s="14"/>
      <c r="E65" s="14"/>
      <c r="F65" t="s">
        <v>441</v>
      </c>
      <c r="H65" s="15"/>
      <c r="I65" s="15">
        <f>_xlfn.XLOOKUP(E65,liste!A:A,liste!C:C,"AUTRE")</f>
        <v>0</v>
      </c>
      <c r="J65" s="14" t="str">
        <f t="shared" si="2"/>
        <v>A024 -  -  -  -  - Température armoire électrique élevée -0</v>
      </c>
    </row>
    <row r="66" spans="1:10" x14ac:dyDescent="0.25">
      <c r="A66" s="18" t="s">
        <v>444</v>
      </c>
      <c r="B66" s="14"/>
      <c r="C66" s="14"/>
      <c r="D66" s="14"/>
      <c r="E66" s="14"/>
      <c r="F66" t="s">
        <v>446</v>
      </c>
      <c r="H66" s="15"/>
      <c r="I66" s="15">
        <f>_xlfn.XLOOKUP(E66,liste!A:A,liste!C:C,"AUTRE")</f>
        <v>0</v>
      </c>
      <c r="J66" s="14" t="str">
        <f t="shared" si="2"/>
        <v>A025 -  -  -  -  - Erreur de communication capteur température armoire électrique -0</v>
      </c>
    </row>
    <row r="67" spans="1:10" x14ac:dyDescent="0.25">
      <c r="A67" s="18" t="s">
        <v>449</v>
      </c>
      <c r="B67" s="14"/>
      <c r="C67" s="14"/>
      <c r="D67" s="14"/>
      <c r="E67" s="14"/>
      <c r="F67" t="s">
        <v>451</v>
      </c>
      <c r="H67" s="15"/>
      <c r="I67" s="15">
        <f>_xlfn.XLOOKUP(E67,liste!A:A,liste!C:C,"AUTRE")</f>
        <v>0</v>
      </c>
      <c r="J67" s="14" t="str">
        <f t="shared" si="2"/>
        <v>A026 -  -  -  -  - Température armoire informatique élevée -0</v>
      </c>
    </row>
    <row r="68" spans="1:10" x14ac:dyDescent="0.25">
      <c r="A68" s="18" t="s">
        <v>454</v>
      </c>
      <c r="B68" s="14"/>
      <c r="C68" s="14"/>
      <c r="D68" s="14"/>
      <c r="E68" s="14"/>
      <c r="F68" t="s">
        <v>456</v>
      </c>
      <c r="H68" s="15"/>
      <c r="I68" s="15">
        <f>_xlfn.XLOOKUP(E68,liste!A:A,liste!C:C,"AUTRE")</f>
        <v>0</v>
      </c>
      <c r="J68" s="14" t="str">
        <f t="shared" si="2"/>
        <v>A027 -  -  -  -  - Erreur de communication capteur température armoire informatique -0</v>
      </c>
    </row>
    <row r="69" spans="1:10" x14ac:dyDescent="0.25">
      <c r="A69" s="18" t="s">
        <v>459</v>
      </c>
      <c r="B69" s="14"/>
      <c r="C69" s="14"/>
      <c r="D69" s="14"/>
      <c r="E69" s="14"/>
      <c r="F69" t="s">
        <v>461</v>
      </c>
      <c r="H69" s="15"/>
      <c r="I69" s="15">
        <f>_xlfn.XLOOKUP(E69,liste!A:A,liste!C:C,"AUTRE")</f>
        <v>0</v>
      </c>
      <c r="J69" s="14" t="str">
        <f t="shared" si="2"/>
        <v>A028 -  -  -  -  - Erreur de communication capteur pression d'air -0</v>
      </c>
    </row>
    <row r="70" spans="1:10" x14ac:dyDescent="0.25">
      <c r="A70" s="18" t="s">
        <v>464</v>
      </c>
      <c r="B70" s="14"/>
      <c r="C70" s="14"/>
      <c r="D70" s="14"/>
      <c r="E70" s="14"/>
      <c r="F70" t="s">
        <v>466</v>
      </c>
      <c r="H70" s="15"/>
      <c r="I70" s="15">
        <f>_xlfn.XLOOKUP(E70,liste!A:A,liste!C:C,"AUTRE")</f>
        <v>0</v>
      </c>
      <c r="J70" s="14" t="str">
        <f t="shared" si="2"/>
        <v>A031 -  -  -  -  - Défaut intensité Convoyeur vers compteuse -0</v>
      </c>
    </row>
    <row r="71" spans="1:10" x14ac:dyDescent="0.25">
      <c r="A71" s="18" t="s">
        <v>469</v>
      </c>
      <c r="B71" s="14"/>
      <c r="C71" s="14"/>
      <c r="D71" s="14"/>
      <c r="E71" s="14"/>
      <c r="F71" t="s">
        <v>471</v>
      </c>
      <c r="H71" s="15"/>
      <c r="I71" s="15">
        <f>_xlfn.XLOOKUP(E71,liste!A:A,liste!C:C,"AUTRE")</f>
        <v>0</v>
      </c>
      <c r="J71" s="14" t="str">
        <f t="shared" si="2"/>
        <v>A032 -  -  -  -  - Défaut Convoyeur vers compteuse -0</v>
      </c>
    </row>
    <row r="72" spans="1:10" x14ac:dyDescent="0.25">
      <c r="A72" s="18" t="s">
        <v>474</v>
      </c>
      <c r="B72" s="14"/>
      <c r="C72" s="14"/>
      <c r="D72" s="14"/>
      <c r="E72" s="14"/>
      <c r="F72" t="s">
        <v>476</v>
      </c>
      <c r="H72" s="15"/>
      <c r="I72" s="15">
        <f>_xlfn.XLOOKUP(E72,liste!A:A,liste!C:C,"AUTRE")</f>
        <v>0</v>
      </c>
      <c r="J72" s="14" t="str">
        <f t="shared" si="2"/>
        <v>A034 -  -  -  -  - Défaut protection thermique moteur convoyeur séparateur -0</v>
      </c>
    </row>
    <row r="73" spans="1:10" x14ac:dyDescent="0.25">
      <c r="A73" s="18" t="s">
        <v>479</v>
      </c>
      <c r="B73" s="14"/>
      <c r="C73" s="14"/>
      <c r="D73" s="14"/>
      <c r="E73" s="14"/>
      <c r="F73" t="s">
        <v>481</v>
      </c>
      <c r="H73" s="15"/>
      <c r="I73" s="15">
        <f>_xlfn.XLOOKUP(E73,liste!A:A,liste!C:C,"AUTRE")</f>
        <v>0</v>
      </c>
      <c r="J73" s="14" t="str">
        <f t="shared" si="2"/>
        <v>A035 -  -  -  -  - Défaut protection thermique moteur convoyeur accélérateur -0</v>
      </c>
    </row>
    <row r="74" spans="1:10" x14ac:dyDescent="0.25">
      <c r="A74" s="18" t="s">
        <v>484</v>
      </c>
      <c r="B74" s="14"/>
      <c r="C74" s="14"/>
      <c r="D74" s="14"/>
      <c r="E74" s="14"/>
      <c r="F74" t="s">
        <v>486</v>
      </c>
      <c r="H74" s="15"/>
      <c r="I74" s="15">
        <f>_xlfn.XLOOKUP(E74,liste!A:A,liste!C:C,"AUTRE")</f>
        <v>0</v>
      </c>
      <c r="J74" s="14" t="str">
        <f t="shared" si="2"/>
        <v>A036 -  -  -  -  - Défaut protection thermique moteur convoyeur acquisition -0</v>
      </c>
    </row>
    <row r="75" spans="1:10" x14ac:dyDescent="0.25">
      <c r="A75" s="18" t="s">
        <v>489</v>
      </c>
      <c r="B75" s="14"/>
      <c r="C75" s="14"/>
      <c r="D75" s="14"/>
      <c r="E75" s="14"/>
      <c r="F75" t="s">
        <v>491</v>
      </c>
      <c r="H75" s="15"/>
      <c r="I75" s="15">
        <f>_xlfn.XLOOKUP(E75,liste!A:A,liste!C:C,"AUTRE")</f>
        <v>0</v>
      </c>
      <c r="J75" s="14" t="str">
        <f t="shared" ref="J75:J106" si="3">A75 &amp; " - " &amp; B75 &amp; " - " &amp; C75 &amp; " - " &amp; D75 &amp; " - " &amp; E75 &amp; " - " &amp; F75 &amp; " -" &amp; I75</f>
        <v>A039 -  -  -  -  - Défaut intensité Convoyeur élévateur sortie -0</v>
      </c>
    </row>
    <row r="76" spans="1:10" x14ac:dyDescent="0.25">
      <c r="A76" s="18" t="s">
        <v>494</v>
      </c>
      <c r="B76" s="14"/>
      <c r="C76" s="14"/>
      <c r="D76" s="14"/>
      <c r="E76" s="14"/>
      <c r="F76" t="s">
        <v>496</v>
      </c>
      <c r="H76" s="15"/>
      <c r="I76" s="15">
        <f>_xlfn.XLOOKUP(E76,liste!A:A,liste!C:C,"AUTRE")</f>
        <v>0</v>
      </c>
      <c r="J76" s="14" t="str">
        <f t="shared" si="3"/>
        <v>A040 -  -  -  -  - Défaut Convoyeur élévateur sortie -0</v>
      </c>
    </row>
    <row r="77" spans="1:10" x14ac:dyDescent="0.25">
      <c r="A77" s="18" t="s">
        <v>499</v>
      </c>
      <c r="B77" s="14"/>
      <c r="C77" s="14"/>
      <c r="D77" s="14"/>
      <c r="E77" s="14"/>
      <c r="F77" t="s">
        <v>501</v>
      </c>
      <c r="H77" s="15"/>
      <c r="I77" s="15">
        <f>_xlfn.XLOOKUP(E77,liste!A:A,liste!C:C,"AUTRE")</f>
        <v>0</v>
      </c>
      <c r="J77" s="14" t="str">
        <f t="shared" si="3"/>
        <v>A041 -  -  -  -  - Défaut intensité Convoyeur élévateur sortie 2 -0</v>
      </c>
    </row>
    <row r="78" spans="1:10" x14ac:dyDescent="0.25">
      <c r="A78" s="18" t="s">
        <v>504</v>
      </c>
      <c r="B78" s="14"/>
      <c r="C78" s="14"/>
      <c r="D78" s="14"/>
      <c r="E78" s="14"/>
      <c r="F78" t="s">
        <v>506</v>
      </c>
      <c r="H78" s="15"/>
      <c r="I78" s="15">
        <f>_xlfn.XLOOKUP(E78,liste!A:A,liste!C:C,"AUTRE")</f>
        <v>0</v>
      </c>
      <c r="J78" s="14" t="str">
        <f t="shared" si="3"/>
        <v>A042 -  -  -  -  - Défaut Convoyeur élévateur sortie 2 -0</v>
      </c>
    </row>
    <row r="79" spans="1:10" x14ac:dyDescent="0.25">
      <c r="A79" s="18" t="s">
        <v>509</v>
      </c>
      <c r="B79" s="14"/>
      <c r="C79" s="14"/>
      <c r="D79" s="14"/>
      <c r="E79" s="14"/>
      <c r="F79" t="s">
        <v>511</v>
      </c>
      <c r="H79" s="15"/>
      <c r="I79" s="15">
        <f>_xlfn.XLOOKUP(E79,liste!A:A,liste!C:C,"AUTRE")</f>
        <v>0</v>
      </c>
      <c r="J79" s="14" t="str">
        <f t="shared" si="3"/>
        <v>A043 -  -  -  -  - Défaut intensité Oscillation convoyeur séparateur -0</v>
      </c>
    </row>
    <row r="80" spans="1:10" x14ac:dyDescent="0.25">
      <c r="A80" s="18" t="s">
        <v>514</v>
      </c>
      <c r="B80" s="14"/>
      <c r="C80" s="14"/>
      <c r="D80" s="14"/>
      <c r="E80" s="14"/>
      <c r="F80" t="s">
        <v>516</v>
      </c>
      <c r="H80" s="15"/>
      <c r="I80" s="15">
        <f>_xlfn.XLOOKUP(E80,liste!A:A,liste!C:C,"AUTRE")</f>
        <v>0</v>
      </c>
      <c r="J80" s="14" t="str">
        <f t="shared" si="3"/>
        <v>A044 -  -  -  -  - Défaut Oscillation convoyeur séparateur -0</v>
      </c>
    </row>
    <row r="81" spans="1:10" x14ac:dyDescent="0.25">
      <c r="A81" s="18" t="s">
        <v>519</v>
      </c>
      <c r="B81" s="14"/>
      <c r="C81" s="14"/>
      <c r="D81" s="14"/>
      <c r="E81" s="14"/>
      <c r="F81" t="s">
        <v>521</v>
      </c>
      <c r="H81" s="15"/>
      <c r="I81" s="15">
        <f>_xlfn.XLOOKUP(E81,liste!A:A,liste!C:C,"AUTRE")</f>
        <v>0</v>
      </c>
      <c r="J81" s="14" t="str">
        <f t="shared" si="3"/>
        <v>A045 -  -  -  -  - Température boitier caméra élevée -0</v>
      </c>
    </row>
    <row r="82" spans="1:10" x14ac:dyDescent="0.25">
      <c r="A82" s="18" t="s">
        <v>524</v>
      </c>
      <c r="B82" s="14"/>
      <c r="C82" s="14"/>
      <c r="D82" s="14"/>
      <c r="E82" s="14"/>
      <c r="F82" t="s">
        <v>526</v>
      </c>
      <c r="H82" s="15"/>
      <c r="I82" s="15">
        <f>_xlfn.XLOOKUP(E82,liste!A:A,liste!C:C,"AUTRE")</f>
        <v>0</v>
      </c>
      <c r="J82" s="14" t="str">
        <f t="shared" si="3"/>
        <v>A046 -  -  -  -  - Erreur de communication capteur température boitier caméra -0</v>
      </c>
    </row>
    <row r="83" spans="1:10" x14ac:dyDescent="0.25">
      <c r="A83" s="18" t="s">
        <v>529</v>
      </c>
      <c r="B83" s="14"/>
      <c r="C83" s="14"/>
      <c r="D83" s="14"/>
      <c r="E83" s="14"/>
      <c r="F83" t="s">
        <v>531</v>
      </c>
      <c r="H83" s="15"/>
      <c r="I83" s="15">
        <f>_xlfn.XLOOKUP(E83,liste!A:A,liste!C:C,"AUTRE")</f>
        <v>0</v>
      </c>
      <c r="J83" s="14" t="str">
        <f t="shared" si="3"/>
        <v>A047 -  -  -  -  - Pas de détection du capteur système d'oscillation convoyeur séparateur en position basse, vérifier le capteur ou la pièce mécanique -0</v>
      </c>
    </row>
    <row r="84" spans="1:10" x14ac:dyDescent="0.25">
      <c r="A84" s="18" t="s">
        <v>534</v>
      </c>
      <c r="B84" s="14"/>
      <c r="C84" s="14"/>
      <c r="D84" s="14"/>
      <c r="E84" s="14"/>
      <c r="F84" t="s">
        <v>531</v>
      </c>
      <c r="H84" s="15"/>
      <c r="I84" s="15">
        <f>_xlfn.XLOOKUP(E84,liste!A:A,liste!C:C,"AUTRE")</f>
        <v>0</v>
      </c>
      <c r="J84" s="14" t="str">
        <f t="shared" si="3"/>
        <v>A048 -  -  -  -  - Pas de détection du capteur système d'oscillation convoyeur séparateur en position basse, vérifier le capteur ou la pièce mécanique -0</v>
      </c>
    </row>
    <row r="85" spans="1:10" x14ac:dyDescent="0.25">
      <c r="A85" s="18" t="s">
        <v>538</v>
      </c>
      <c r="B85" s="14"/>
      <c r="C85" s="14"/>
      <c r="D85" s="14"/>
      <c r="E85" s="14"/>
      <c r="F85" t="s">
        <v>540</v>
      </c>
      <c r="H85" s="15"/>
      <c r="I85" s="15">
        <f>_xlfn.XLOOKUP(E85,liste!A:A,liste!C:C,"AUTRE")</f>
        <v>0</v>
      </c>
      <c r="J85" s="14" t="str">
        <f t="shared" si="3"/>
        <v>A049 -  -  -  -  - Défaut intensité Convoyeur avant élévateur -0</v>
      </c>
    </row>
    <row r="86" spans="1:10" x14ac:dyDescent="0.25">
      <c r="A86" s="18" t="s">
        <v>543</v>
      </c>
      <c r="B86" s="14"/>
      <c r="C86" s="14"/>
      <c r="D86" s="14"/>
      <c r="E86" s="14"/>
      <c r="F86" t="s">
        <v>545</v>
      </c>
      <c r="H86" s="15"/>
      <c r="I86" s="15">
        <f>_xlfn.XLOOKUP(E86,liste!A:A,liste!C:C,"AUTRE")</f>
        <v>0</v>
      </c>
      <c r="J86" s="14" t="str">
        <f t="shared" si="3"/>
        <v>A050 -  -  -  -  - Défaut Convoyeur avant élévateur -0</v>
      </c>
    </row>
    <row r="87" spans="1:10" x14ac:dyDescent="0.25">
      <c r="A87" s="18" t="s">
        <v>548</v>
      </c>
      <c r="B87" s="14"/>
      <c r="C87" s="14"/>
      <c r="D87" s="14"/>
      <c r="E87" s="14"/>
      <c r="F87" t="s">
        <v>550</v>
      </c>
      <c r="H87" s="15"/>
      <c r="I87" s="15">
        <f>_xlfn.XLOOKUP(E87,liste!A:A,liste!C:C,"AUTRE")</f>
        <v>0</v>
      </c>
      <c r="J87" s="14" t="str">
        <f t="shared" si="3"/>
        <v>A051 -  -  -  -  - Défaut intensité convoyeur entrée ligne de tri -0</v>
      </c>
    </row>
    <row r="88" spans="1:10" x14ac:dyDescent="0.25">
      <c r="A88" s="18" t="s">
        <v>553</v>
      </c>
      <c r="B88" s="14"/>
      <c r="C88" s="14"/>
      <c r="D88" s="14"/>
      <c r="E88" s="14"/>
      <c r="F88" t="s">
        <v>555</v>
      </c>
      <c r="H88" s="15"/>
      <c r="I88" s="15">
        <f>_xlfn.XLOOKUP(E88,liste!A:A,liste!C:C,"AUTRE")</f>
        <v>0</v>
      </c>
      <c r="J88" s="14" t="str">
        <f t="shared" si="3"/>
        <v>A052 -  -  -  -  - Défaut convoyeur entrée ligne de tri -0</v>
      </c>
    </row>
    <row r="89" spans="1:10" x14ac:dyDescent="0.25">
      <c r="A89" s="18" t="s">
        <v>558</v>
      </c>
      <c r="B89" s="14"/>
      <c r="C89" s="14"/>
      <c r="D89" s="14"/>
      <c r="E89" s="14"/>
      <c r="F89" t="s">
        <v>560</v>
      </c>
      <c r="H89" s="15"/>
      <c r="I89" s="15">
        <f>_xlfn.XLOOKUP(E89,liste!A:A,liste!C:C,"AUTRE")</f>
        <v>0</v>
      </c>
      <c r="J89" s="14" t="str">
        <f t="shared" si="3"/>
        <v>A053 -  -  -  -  - Défaut intensité convoyeur entrée bypass -0</v>
      </c>
    </row>
    <row r="90" spans="1:10" x14ac:dyDescent="0.25">
      <c r="A90" s="18" t="s">
        <v>563</v>
      </c>
      <c r="B90" s="14"/>
      <c r="C90" s="14"/>
      <c r="D90" s="14"/>
      <c r="E90" s="14"/>
      <c r="F90" t="s">
        <v>565</v>
      </c>
      <c r="H90" s="15"/>
      <c r="I90" s="15">
        <f>_xlfn.XLOOKUP(E90,liste!A:A,liste!C:C,"AUTRE")</f>
        <v>0</v>
      </c>
      <c r="J90" s="14" t="str">
        <f t="shared" si="3"/>
        <v>A054 -  -  -  -  - Défaut convoyeur entrée bypass -0</v>
      </c>
    </row>
    <row r="91" spans="1:10" x14ac:dyDescent="0.25">
      <c r="A91" s="18" t="s">
        <v>568</v>
      </c>
      <c r="B91" s="14"/>
      <c r="C91" s="14"/>
      <c r="D91" s="14"/>
      <c r="E91" s="14"/>
      <c r="F91" t="s">
        <v>570</v>
      </c>
      <c r="H91" s="15"/>
      <c r="I91" s="15">
        <f>_xlfn.XLOOKUP(E91,liste!A:A,liste!C:C,"AUTRE")</f>
        <v>0</v>
      </c>
      <c r="J91" s="14" t="str">
        <f t="shared" si="3"/>
        <v>A055 -  -  -  -  - Défaut intensité convoyeur entrée vers compteuse -0</v>
      </c>
    </row>
    <row r="92" spans="1:10" x14ac:dyDescent="0.25">
      <c r="A92" s="18" t="s">
        <v>573</v>
      </c>
      <c r="B92" s="14"/>
      <c r="C92" s="14"/>
      <c r="D92" s="14"/>
      <c r="E92" s="14"/>
      <c r="F92" t="s">
        <v>575</v>
      </c>
      <c r="H92" s="15"/>
      <c r="I92" s="15">
        <f>_xlfn.XLOOKUP(E92,liste!A:A,liste!C:C,"AUTRE")</f>
        <v>0</v>
      </c>
      <c r="J92" s="14" t="str">
        <f t="shared" si="3"/>
        <v>A056 -  -  -  -  - Défaut convoyeur entrée vers compteuse -0</v>
      </c>
    </row>
    <row r="93" spans="1:10" x14ac:dyDescent="0.25">
      <c r="A93" s="18" t="s">
        <v>578</v>
      </c>
      <c r="B93" s="14"/>
      <c r="C93" s="14"/>
      <c r="D93" s="14"/>
      <c r="E93" s="14"/>
      <c r="F93" t="s">
        <v>580</v>
      </c>
      <c r="H93" s="15"/>
      <c r="I93" s="15">
        <f>_xlfn.XLOOKUP(E93,liste!A:A,liste!C:C,"AUTRE")</f>
        <v>0</v>
      </c>
      <c r="J93" s="14" t="str">
        <f t="shared" si="3"/>
        <v>A059 -  -  -  -  - Porte de sécurité 1 ouverte -0</v>
      </c>
    </row>
    <row r="94" spans="1:10" x14ac:dyDescent="0.25">
      <c r="A94" s="18" t="s">
        <v>583</v>
      </c>
      <c r="B94" s="14"/>
      <c r="C94" s="14"/>
      <c r="D94" s="14"/>
      <c r="E94" s="14"/>
      <c r="F94" t="s">
        <v>585</v>
      </c>
      <c r="H94" s="15"/>
      <c r="I94" s="15">
        <f>_xlfn.XLOOKUP(E94,liste!A:A,liste!C:C,"AUTRE")</f>
        <v>0</v>
      </c>
      <c r="J94" s="14" t="str">
        <f t="shared" si="3"/>
        <v>A060 -  -  -  -  - Porte de sécurité 2 ouverte -0</v>
      </c>
    </row>
    <row r="95" spans="1:10" x14ac:dyDescent="0.25">
      <c r="A95" s="18" t="s">
        <v>588</v>
      </c>
      <c r="B95" s="14"/>
      <c r="C95" s="14"/>
      <c r="D95" s="14"/>
      <c r="E95" s="14"/>
      <c r="F95" t="s">
        <v>590</v>
      </c>
      <c r="H95" s="15"/>
      <c r="I95" s="15">
        <f>_xlfn.XLOOKUP(E95,liste!A:A,liste!C:C,"AUTRE")</f>
        <v>0</v>
      </c>
      <c r="J95" s="14" t="str">
        <f t="shared" si="3"/>
        <v>A061 -  -  -  -  - Porte de sécurité 3 ouverte -0</v>
      </c>
    </row>
    <row r="96" spans="1:10" x14ac:dyDescent="0.25">
      <c r="A96" s="18" t="s">
        <v>593</v>
      </c>
      <c r="B96" s="14"/>
      <c r="C96" s="14"/>
      <c r="D96" s="14"/>
      <c r="E96" s="14"/>
      <c r="F96" t="s">
        <v>595</v>
      </c>
      <c r="H96" s="15"/>
      <c r="I96" s="15">
        <f>_xlfn.XLOOKUP(E96,liste!A:A,liste!C:C,"AUTRE")</f>
        <v>0</v>
      </c>
      <c r="J96" s="14" t="str">
        <f t="shared" si="3"/>
        <v>A062 -  -  -  -  - Porte de sécurité 4 ouverte -0</v>
      </c>
    </row>
    <row r="97" spans="1:10" x14ac:dyDescent="0.25">
      <c r="A97" s="18" t="s">
        <v>598</v>
      </c>
      <c r="B97" s="14"/>
      <c r="C97" s="14"/>
      <c r="D97" s="14"/>
      <c r="E97" s="14"/>
      <c r="F97" t="s">
        <v>600</v>
      </c>
      <c r="H97" s="15"/>
      <c r="I97" s="15">
        <f>_xlfn.XLOOKUP(E97,liste!A:A,liste!C:C,"AUTRE")</f>
        <v>0</v>
      </c>
      <c r="J97" s="14" t="str">
        <f t="shared" si="3"/>
        <v>A063 -  -  -  -  - Porte de sécurité 5 ouverte -0</v>
      </c>
    </row>
    <row r="98" spans="1:10" x14ac:dyDescent="0.25">
      <c r="A98" s="18" t="s">
        <v>603</v>
      </c>
      <c r="B98" s="14"/>
      <c r="C98" s="14"/>
      <c r="D98" s="14"/>
      <c r="E98" s="14"/>
      <c r="F98" t="s">
        <v>605</v>
      </c>
      <c r="H98" s="15"/>
      <c r="I98" s="15">
        <f>_xlfn.XLOOKUP(E98,liste!A:A,liste!C:C,"AUTRE")</f>
        <v>0</v>
      </c>
      <c r="J98" s="14" t="str">
        <f t="shared" si="3"/>
        <v>A064 -  -  -  -  - Porte de sécurité 6 ouverte -0</v>
      </c>
    </row>
    <row r="99" spans="1:10" x14ac:dyDescent="0.25">
      <c r="A99" s="18" t="s">
        <v>608</v>
      </c>
      <c r="B99" s="14"/>
      <c r="C99" s="14"/>
      <c r="D99" s="14"/>
      <c r="E99" s="14"/>
      <c r="F99" t="s">
        <v>610</v>
      </c>
      <c r="H99" s="15"/>
      <c r="I99" s="15">
        <f>_xlfn.XLOOKUP(E99,liste!A:A,liste!C:C,"AUTRE")</f>
        <v>0</v>
      </c>
      <c r="J99" s="14" t="str">
        <f t="shared" si="3"/>
        <v>A057 -  -  -  -  - Défaut 1 échangeur thermique : Défaut général -0</v>
      </c>
    </row>
    <row r="100" spans="1:10" x14ac:dyDescent="0.25">
      <c r="A100" s="18" t="s">
        <v>613</v>
      </c>
      <c r="B100" s="14"/>
      <c r="C100" s="14"/>
      <c r="D100" s="14"/>
      <c r="E100" s="14"/>
      <c r="F100" t="s">
        <v>615</v>
      </c>
      <c r="H100" s="15"/>
      <c r="I100" s="15">
        <f>_xlfn.XLOOKUP(E100,liste!A:A,liste!C:C,"AUTRE")</f>
        <v>0</v>
      </c>
      <c r="J100" s="14" t="str">
        <f t="shared" si="3"/>
        <v>A058 -  -  -  -  - Défaut 2 échangeur thermique : Température armoire trop élevée -0</v>
      </c>
    </row>
    <row r="101" spans="1:10" x14ac:dyDescent="0.25">
      <c r="A101" s="18" t="s">
        <v>618</v>
      </c>
      <c r="B101" s="14"/>
      <c r="C101" s="14"/>
      <c r="D101" s="14"/>
      <c r="E101" s="14"/>
      <c r="F101" t="s">
        <v>620</v>
      </c>
      <c r="H101" s="15"/>
      <c r="I101" s="15">
        <f>_xlfn.XLOOKUP(E101,liste!A:A,liste!C:C,"AUTRE")</f>
        <v>0</v>
      </c>
      <c r="J101" s="14" t="str">
        <f t="shared" si="3"/>
        <v>A065 -  -  -  -  - Défaut 1 groupe froid -0</v>
      </c>
    </row>
    <row r="102" spans="1:10" x14ac:dyDescent="0.25">
      <c r="A102" s="18" t="s">
        <v>623</v>
      </c>
      <c r="B102" s="14"/>
      <c r="C102" s="14"/>
      <c r="D102" s="14"/>
      <c r="E102" s="14"/>
      <c r="F102" t="s">
        <v>625</v>
      </c>
      <c r="H102" s="15"/>
      <c r="I102" s="15">
        <f>_xlfn.XLOOKUP(E102,liste!A:A,liste!C:C,"AUTRE")</f>
        <v>0</v>
      </c>
      <c r="J102" s="14" t="str">
        <f t="shared" si="3"/>
        <v>A066 -  -  -  -  - Défaut 2 groupe froid -0</v>
      </c>
    </row>
    <row r="103" spans="1:10" x14ac:dyDescent="0.25">
      <c r="A103" s="18" t="s">
        <v>628</v>
      </c>
      <c r="B103" s="14"/>
      <c r="C103" s="14"/>
      <c r="D103" s="14"/>
      <c r="E103" s="14"/>
      <c r="F103" t="s">
        <v>630</v>
      </c>
      <c r="H103" s="15"/>
      <c r="I103" s="15">
        <f>_xlfn.XLOOKUP(E103,liste!A:A,liste!C:C,"AUTRE")</f>
        <v>0</v>
      </c>
      <c r="J103" s="14" t="str">
        <f t="shared" si="3"/>
        <v>A067 -  -  -  -  - Défaut SEC02, sortez la goulotte de distribution, ouvrez toutes les portes, puis fermez-les une à une. -0</v>
      </c>
    </row>
    <row r="104" spans="1:10" x14ac:dyDescent="0.25">
      <c r="A104" s="18" t="s">
        <v>633</v>
      </c>
      <c r="B104" s="14"/>
      <c r="C104" s="14"/>
      <c r="D104" s="14"/>
      <c r="E104" s="14"/>
      <c r="F104" t="s">
        <v>634</v>
      </c>
      <c r="H104" s="15"/>
      <c r="I104" s="15">
        <f>_xlfn.XLOOKUP(E104,liste!A:A,liste!C:C,"AUTRE")</f>
        <v>0</v>
      </c>
      <c r="J104" s="14" t="str">
        <f t="shared" si="3"/>
        <v>A068 -  -  -  -  - Défaut intensité Convoyeur 2 vers compteuse -0</v>
      </c>
    </row>
    <row r="105" spans="1:10" x14ac:dyDescent="0.25">
      <c r="A105" s="18" t="s">
        <v>637</v>
      </c>
      <c r="B105" s="14"/>
      <c r="C105" s="14"/>
      <c r="D105" s="14"/>
      <c r="E105" s="14"/>
      <c r="F105" t="s">
        <v>638</v>
      </c>
      <c r="H105" s="15"/>
      <c r="I105" s="15">
        <f>_xlfn.XLOOKUP(E105,liste!A:A,liste!C:C,"AUTRE")</f>
        <v>0</v>
      </c>
      <c r="J105" s="14" t="str">
        <f t="shared" si="3"/>
        <v>A069 -  -  -  -  - Défaut Convoyeur 2 vers compteuse -0</v>
      </c>
    </row>
    <row r="106" spans="1:10" x14ac:dyDescent="0.25">
      <c r="A106" s="18" t="s">
        <v>641</v>
      </c>
      <c r="B106" s="14"/>
      <c r="C106" s="14"/>
      <c r="D106" s="14"/>
      <c r="E106" s="14"/>
      <c r="F106" t="s">
        <v>643</v>
      </c>
      <c r="H106" s="15"/>
      <c r="I106" s="15">
        <f>_xlfn.XLOOKUP(E106,liste!A:A,liste!C:C,"AUTRE")</f>
        <v>0</v>
      </c>
      <c r="J106" s="14" t="str">
        <f t="shared" si="3"/>
        <v>A070 -  -  -  -  - Remplacement urgent filtre 1 -0</v>
      </c>
    </row>
    <row r="107" spans="1:10" x14ac:dyDescent="0.25">
      <c r="A107" s="18" t="s">
        <v>646</v>
      </c>
      <c r="B107" s="14"/>
      <c r="C107" s="14"/>
      <c r="D107" s="14"/>
      <c r="E107" s="14"/>
      <c r="F107" t="s">
        <v>648</v>
      </c>
      <c r="H107" s="15"/>
      <c r="I107" s="15">
        <f>_xlfn.XLOOKUP(E107,liste!A:A,liste!C:C,"AUTRE")</f>
        <v>0</v>
      </c>
      <c r="J107" s="14" t="str">
        <f t="shared" ref="J107:J108" si="4">A107 &amp; " - " &amp; B107 &amp; " - " &amp; C107 &amp; " - " &amp; D107 &amp; " - " &amp; E107 &amp; " - " &amp; F107 &amp; " -" &amp; I107</f>
        <v>A071 -  -  -  -  - Remplacement urgent filtre 2 -0</v>
      </c>
    </row>
    <row r="108" spans="1:10" x14ac:dyDescent="0.25">
      <c r="A108" s="18" t="s">
        <v>651</v>
      </c>
      <c r="B108" s="14"/>
      <c r="C108" s="14"/>
      <c r="D108" s="14"/>
      <c r="E108" s="14"/>
      <c r="F108" t="s">
        <v>653</v>
      </c>
      <c r="H108" s="15"/>
      <c r="I108" s="15">
        <f>_xlfn.XLOOKUP(E108,liste!A:A,liste!C:C,"AUTRE")</f>
        <v>0</v>
      </c>
      <c r="J108" s="14" t="str">
        <f t="shared" si="4"/>
        <v>A072 -  -  -  -  - Remplacement urgent filtre 3 -0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58A56D-2CB8-4372-A943-49486494569F}">
          <x14:formula1>
            <xm:f>liste!$A$2:$A$25</xm:f>
          </x14:formula1>
          <xm:sqref>E2:E13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YQGFZQHHBQ6F7TYKGNG3OBRGMGMXTHQ7:ms-officescript%3A%2F%2Fonedrive_business_sharinglink%2Fu!aHR0cHM6Ly9jZXZhYW5pbWFsaGVhbHRoLW15LnNoYXJlcG9pbnQuY29tLzp1Oi9nL3BlcnNvbmFsL3U1MjE2MjNfY2V2YV9jb20vSVFEbkREeGZ6d296VGJjR0ptR1plWjRmQVQ3OHBEQTFnSUJxNGJJUUgtbHZncmc"/>
</scriptIds>
</file>

<file path=customXml/itemProps1.xml><?xml version="1.0" encoding="utf-8"?>
<ds:datastoreItem xmlns:ds="http://schemas.openxmlformats.org/officeDocument/2006/customXml" ds:itemID="{C08DA40D-326B-4103-B86D-F5F1BDE46D27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Default</vt:lpstr>
      <vt:lpstr>PMXA_BDD</vt:lpstr>
      <vt:lpstr>Feuil2</vt:lpstr>
      <vt:lpstr>liste</vt:lpstr>
      <vt:lpstr>feuilleàmoi</vt:lpstr>
      <vt:lpstr>PMXA_ancien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Damien FOUGERES</dc:creator>
  <cp:keywords/>
  <dc:description/>
  <cp:lastModifiedBy>Damien FOUGERES</cp:lastModifiedBy>
  <cp:revision/>
  <dcterms:created xsi:type="dcterms:W3CDTF">2026-05-12T13:03:37Z</dcterms:created>
  <dcterms:modified xsi:type="dcterms:W3CDTF">2026-05-22T09:29:32Z</dcterms:modified>
  <cp:category/>
  <cp:contentStatus/>
</cp:coreProperties>
</file>